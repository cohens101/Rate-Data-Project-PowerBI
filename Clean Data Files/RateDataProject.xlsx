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307dbbd617ced9/Desktop/New folder/"/>
    </mc:Choice>
  </mc:AlternateContent>
  <xr:revisionPtr revIDLastSave="2" documentId="8_{4DC5692E-0404-43AF-9213-1F3B281E43CE}" xr6:coauthVersionLast="47" xr6:coauthVersionMax="47" xr10:uidLastSave="{E4A67C74-0DB5-45FC-9ED6-D324D6A6B2AA}"/>
  <bookViews>
    <workbookView xWindow="-108" yWindow="-108" windowWidth="23256" windowHeight="12456" activeTab="2" xr2:uid="{DFA65A31-9BE1-461A-84D5-863BC8852BFB}"/>
  </bookViews>
  <sheets>
    <sheet name="RateComponents" sheetId="1" r:id="rId1"/>
    <sheet name="CustomerProfiles" sheetId="2" r:id="rId2"/>
    <sheet name="UsageMonthly" sheetId="3" r:id="rId3"/>
    <sheet name="RevenueMonthly" sheetId="4" r:id="rId4"/>
    <sheet name="VarianceMonth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K2" i="5"/>
  <c r="I2" i="5"/>
  <c r="Q2" i="5" s="1"/>
  <c r="A3" i="5"/>
  <c r="E3" i="5" s="1" a="1"/>
  <c r="E3" i="5" s="1"/>
  <c r="G2" i="5"/>
  <c r="F2" i="5"/>
  <c r="E2" i="5" a="1"/>
  <c r="E2" i="5" s="1"/>
  <c r="G2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A3" i="4"/>
  <c r="E3" i="4" s="1" a="1"/>
  <c r="E3" i="4" s="1"/>
  <c r="E2" i="4" a="1"/>
  <c r="E2" i="4" s="1"/>
  <c r="E10" i="3" a="1"/>
  <c r="E10" i="3" s="1"/>
  <c r="E3" i="3" a="1"/>
  <c r="E3" i="3" s="1"/>
  <c r="E4" i="3" a="1"/>
  <c r="E4" i="3" s="1"/>
  <c r="E5" i="3" a="1"/>
  <c r="E5" i="3"/>
  <c r="E6" i="3" a="1"/>
  <c r="E6" i="3" s="1"/>
  <c r="E7" i="3" a="1"/>
  <c r="E7" i="3" s="1"/>
  <c r="E8" i="3" a="1"/>
  <c r="E8" i="3" s="1"/>
  <c r="E9" i="3" a="1"/>
  <c r="E9" i="3"/>
  <c r="E11" i="3" a="1"/>
  <c r="E11" i="3" s="1"/>
  <c r="E12" i="3" a="1"/>
  <c r="E12" i="3" s="1"/>
  <c r="E13" i="3" a="1"/>
  <c r="E13" i="3" s="1"/>
  <c r="E14" i="3" a="1"/>
  <c r="E14" i="3"/>
  <c r="E15" i="3" a="1"/>
  <c r="E15" i="3" s="1"/>
  <c r="E16" i="3" a="1"/>
  <c r="E16" i="3" s="1"/>
  <c r="E17" i="3" a="1"/>
  <c r="E17" i="3" s="1"/>
  <c r="E18" i="3" a="1"/>
  <c r="E18" i="3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3" i="3"/>
  <c r="E2" i="3" a="1"/>
  <c r="E2" i="3" s="1"/>
  <c r="H25" i="4" l="1"/>
  <c r="H9" i="4"/>
  <c r="H17" i="4"/>
  <c r="H19" i="4"/>
  <c r="H3" i="4"/>
  <c r="O2" i="5"/>
  <c r="P2" i="5"/>
  <c r="J2" i="5"/>
  <c r="M2" i="5"/>
  <c r="N2" i="5"/>
  <c r="I3" i="5"/>
  <c r="K3" i="5"/>
  <c r="L3" i="5"/>
  <c r="H2" i="5"/>
  <c r="F3" i="5"/>
  <c r="G3" i="5"/>
  <c r="A4" i="5"/>
  <c r="H12" i="4"/>
  <c r="H20" i="4"/>
  <c r="H4" i="4"/>
  <c r="H11" i="4"/>
  <c r="H21" i="4"/>
  <c r="H13" i="4"/>
  <c r="H5" i="4"/>
  <c r="H7" i="4"/>
  <c r="H23" i="4"/>
  <c r="H24" i="4"/>
  <c r="H16" i="4"/>
  <c r="H22" i="4"/>
  <c r="H14" i="4"/>
  <c r="H6" i="4"/>
  <c r="H8" i="4"/>
  <c r="H15" i="4"/>
  <c r="H18" i="4"/>
  <c r="H10" i="4"/>
  <c r="H2" i="4"/>
  <c r="A4" i="4"/>
  <c r="O3" i="5" l="1"/>
  <c r="P3" i="5" s="1"/>
  <c r="N3" i="5"/>
  <c r="M3" i="5"/>
  <c r="L4" i="5"/>
  <c r="K4" i="5"/>
  <c r="I4" i="5"/>
  <c r="H3" i="5"/>
  <c r="J3" i="5" s="1"/>
  <c r="F4" i="5"/>
  <c r="E4" i="5" a="1"/>
  <c r="E4" i="5" s="1"/>
  <c r="A5" i="5"/>
  <c r="G4" i="5"/>
  <c r="A5" i="4"/>
  <c r="E4" i="4" a="1"/>
  <c r="E4" i="4" s="1"/>
  <c r="Q3" i="5" l="1"/>
  <c r="O4" i="5"/>
  <c r="P4" i="5" s="1"/>
  <c r="M4" i="5"/>
  <c r="N4" i="5"/>
  <c r="L5" i="5"/>
  <c r="K5" i="5"/>
  <c r="I5" i="5"/>
  <c r="G5" i="5"/>
  <c r="F5" i="5"/>
  <c r="E5" i="5" a="1"/>
  <c r="E5" i="5" s="1"/>
  <c r="A6" i="5"/>
  <c r="H4" i="5"/>
  <c r="J4" i="5" s="1"/>
  <c r="A6" i="4"/>
  <c r="E5" i="4" a="1"/>
  <c r="E5" i="4" s="1"/>
  <c r="Q4" i="5" l="1"/>
  <c r="O5" i="5"/>
  <c r="P5" i="5" s="1"/>
  <c r="N5" i="5"/>
  <c r="M5" i="5"/>
  <c r="L6" i="5"/>
  <c r="K6" i="5"/>
  <c r="I6" i="5"/>
  <c r="H5" i="5"/>
  <c r="J5" i="5" s="1"/>
  <c r="A7" i="5"/>
  <c r="G6" i="5"/>
  <c r="E6" i="5" a="1"/>
  <c r="E6" i="5" s="1"/>
  <c r="F6" i="5"/>
  <c r="A7" i="4"/>
  <c r="E6" i="4" a="1"/>
  <c r="E6" i="4" s="1"/>
  <c r="O6" i="5" l="1"/>
  <c r="P6" i="5" s="1"/>
  <c r="Q5" i="5"/>
  <c r="N6" i="5"/>
  <c r="M6" i="5"/>
  <c r="L7" i="5"/>
  <c r="K7" i="5"/>
  <c r="I7" i="5"/>
  <c r="H6" i="5"/>
  <c r="J6" i="5" s="1"/>
  <c r="E7" i="5" a="1"/>
  <c r="E7" i="5" s="1"/>
  <c r="A8" i="5"/>
  <c r="G7" i="5"/>
  <c r="F7" i="5"/>
  <c r="A8" i="4"/>
  <c r="E7" i="4" a="1"/>
  <c r="E7" i="4" s="1"/>
  <c r="O7" i="5" l="1"/>
  <c r="P7" i="5" s="1"/>
  <c r="Q6" i="5"/>
  <c r="N7" i="5"/>
  <c r="M7" i="5"/>
  <c r="L8" i="5"/>
  <c r="K8" i="5"/>
  <c r="I8" i="5"/>
  <c r="H7" i="5"/>
  <c r="J7" i="5" s="1"/>
  <c r="F8" i="5"/>
  <c r="E8" i="5" a="1"/>
  <c r="E8" i="5" s="1"/>
  <c r="A9" i="5"/>
  <c r="G8" i="5"/>
  <c r="E8" i="4" a="1"/>
  <c r="E8" i="4" s="1"/>
  <c r="A9" i="4"/>
  <c r="O8" i="5" l="1"/>
  <c r="P8" i="5" s="1"/>
  <c r="Q7" i="5"/>
  <c r="N8" i="5"/>
  <c r="M8" i="5"/>
  <c r="L9" i="5"/>
  <c r="K9" i="5"/>
  <c r="I9" i="5"/>
  <c r="F9" i="5"/>
  <c r="E9" i="5" a="1"/>
  <c r="E9" i="5" s="1"/>
  <c r="A10" i="5"/>
  <c r="G9" i="5"/>
  <c r="H8" i="5"/>
  <c r="J8" i="5" s="1"/>
  <c r="E9" i="4" a="1"/>
  <c r="E9" i="4" s="1"/>
  <c r="A10" i="4"/>
  <c r="Q8" i="5" l="1"/>
  <c r="O9" i="5"/>
  <c r="P9" i="5" s="1"/>
  <c r="N9" i="5"/>
  <c r="M9" i="5"/>
  <c r="L10" i="5"/>
  <c r="K10" i="5"/>
  <c r="I10" i="5"/>
  <c r="A11" i="5"/>
  <c r="G10" i="5"/>
  <c r="E10" i="5" a="1"/>
  <c r="E10" i="5" s="1"/>
  <c r="F10" i="5"/>
  <c r="H9" i="5"/>
  <c r="J9" i="5" s="1"/>
  <c r="A11" i="4"/>
  <c r="E10" i="4" a="1"/>
  <c r="E10" i="4" s="1"/>
  <c r="O10" i="5" l="1"/>
  <c r="P10" i="5" s="1"/>
  <c r="Q9" i="5"/>
  <c r="N10" i="5"/>
  <c r="M10" i="5"/>
  <c r="L11" i="5"/>
  <c r="K11" i="5"/>
  <c r="I11" i="5"/>
  <c r="H10" i="5"/>
  <c r="J10" i="5" s="1"/>
  <c r="E11" i="5" a="1"/>
  <c r="E11" i="5" s="1"/>
  <c r="A12" i="5"/>
  <c r="G11" i="5"/>
  <c r="F11" i="5"/>
  <c r="A12" i="4"/>
  <c r="E11" i="4" a="1"/>
  <c r="E11" i="4" s="1"/>
  <c r="O11" i="5" l="1"/>
  <c r="P11" i="5" s="1"/>
  <c r="Q10" i="5"/>
  <c r="N11" i="5"/>
  <c r="M11" i="5"/>
  <c r="L12" i="5"/>
  <c r="K12" i="5"/>
  <c r="I12" i="5"/>
  <c r="F12" i="5"/>
  <c r="E12" i="5" a="1"/>
  <c r="E12" i="5" s="1"/>
  <c r="A13" i="5"/>
  <c r="G12" i="5"/>
  <c r="H11" i="5"/>
  <c r="J11" i="5" s="1"/>
  <c r="E12" i="4" a="1"/>
  <c r="E12" i="4" s="1"/>
  <c r="A13" i="4"/>
  <c r="Q11" i="5" l="1"/>
  <c r="O12" i="5"/>
  <c r="P12" i="5" s="1"/>
  <c r="N12" i="5"/>
  <c r="M12" i="5"/>
  <c r="L13" i="5"/>
  <c r="K13" i="5"/>
  <c r="I13" i="5"/>
  <c r="F13" i="5"/>
  <c r="E13" i="5" a="1"/>
  <c r="E13" i="5" s="1"/>
  <c r="A14" i="5"/>
  <c r="G13" i="5"/>
  <c r="H12" i="5"/>
  <c r="J12" i="5" s="1"/>
  <c r="E13" i="4" a="1"/>
  <c r="E13" i="4" s="1"/>
  <c r="A14" i="4"/>
  <c r="O13" i="5" l="1"/>
  <c r="P13" i="5" s="1"/>
  <c r="Q12" i="5"/>
  <c r="N13" i="5"/>
  <c r="M13" i="5"/>
  <c r="L14" i="5"/>
  <c r="K14" i="5"/>
  <c r="I14" i="5"/>
  <c r="A15" i="5"/>
  <c r="G14" i="5"/>
  <c r="E14" i="5" a="1"/>
  <c r="E14" i="5" s="1"/>
  <c r="F14" i="5"/>
  <c r="H13" i="5"/>
  <c r="J13" i="5" s="1"/>
  <c r="A15" i="4"/>
  <c r="E14" i="4" a="1"/>
  <c r="E14" i="4" s="1"/>
  <c r="Q13" i="5" l="1"/>
  <c r="O14" i="5"/>
  <c r="P14" i="5" s="1"/>
  <c r="M14" i="5"/>
  <c r="N14" i="5"/>
  <c r="L15" i="5"/>
  <c r="K15" i="5"/>
  <c r="I15" i="5"/>
  <c r="H14" i="5"/>
  <c r="J14" i="5" s="1"/>
  <c r="E15" i="5" a="1"/>
  <c r="E15" i="5" s="1"/>
  <c r="A16" i="5"/>
  <c r="G15" i="5"/>
  <c r="F15" i="5"/>
  <c r="E15" i="4" a="1"/>
  <c r="E15" i="4" s="1"/>
  <c r="A16" i="4"/>
  <c r="O15" i="5" l="1"/>
  <c r="P15" i="5" s="1"/>
  <c r="Q14" i="5"/>
  <c r="N15" i="5"/>
  <c r="M15" i="5"/>
  <c r="L16" i="5"/>
  <c r="K16" i="5"/>
  <c r="I16" i="5"/>
  <c r="H15" i="5"/>
  <c r="J15" i="5" s="1"/>
  <c r="F16" i="5"/>
  <c r="E16" i="5" a="1"/>
  <c r="E16" i="5" s="1"/>
  <c r="A17" i="5"/>
  <c r="G16" i="5"/>
  <c r="A17" i="4"/>
  <c r="E16" i="4" a="1"/>
  <c r="E16" i="4" s="1"/>
  <c r="O16" i="5" l="1"/>
  <c r="P16" i="5" s="1"/>
  <c r="Q15" i="5"/>
  <c r="N16" i="5"/>
  <c r="M16" i="5"/>
  <c r="L17" i="5"/>
  <c r="K17" i="5"/>
  <c r="I17" i="5"/>
  <c r="F17" i="5"/>
  <c r="E17" i="5" a="1"/>
  <c r="E17" i="5" s="1"/>
  <c r="A18" i="5"/>
  <c r="G17" i="5"/>
  <c r="H16" i="5"/>
  <c r="J16" i="5" s="1"/>
  <c r="A18" i="4"/>
  <c r="E17" i="4" a="1"/>
  <c r="E17" i="4" s="1"/>
  <c r="O17" i="5" l="1"/>
  <c r="P17" i="5" s="1"/>
  <c r="Q16" i="5"/>
  <c r="N17" i="5"/>
  <c r="M17" i="5"/>
  <c r="L18" i="5"/>
  <c r="K18" i="5"/>
  <c r="I18" i="5"/>
  <c r="G18" i="5"/>
  <c r="E18" i="5" a="1"/>
  <c r="E18" i="5" s="1"/>
  <c r="F18" i="5"/>
  <c r="A19" i="5"/>
  <c r="H17" i="5"/>
  <c r="J17" i="5" s="1"/>
  <c r="A19" i="4"/>
  <c r="E18" i="4" a="1"/>
  <c r="E18" i="4" s="1"/>
  <c r="Q17" i="5" l="1"/>
  <c r="O18" i="5"/>
  <c r="P18" i="5" s="1"/>
  <c r="N18" i="5"/>
  <c r="M18" i="5"/>
  <c r="L19" i="5"/>
  <c r="K19" i="5"/>
  <c r="I19" i="5"/>
  <c r="H18" i="5"/>
  <c r="J18" i="5" s="1"/>
  <c r="E19" i="5" a="1"/>
  <c r="E19" i="5" s="1"/>
  <c r="A20" i="5"/>
  <c r="G19" i="5"/>
  <c r="F19" i="5"/>
  <c r="A20" i="4"/>
  <c r="E19" i="4" a="1"/>
  <c r="E19" i="4" s="1"/>
  <c r="O19" i="5" l="1"/>
  <c r="P19" i="5" s="1"/>
  <c r="Q18" i="5"/>
  <c r="N19" i="5"/>
  <c r="M19" i="5"/>
  <c r="L20" i="5"/>
  <c r="K20" i="5"/>
  <c r="I20" i="5"/>
  <c r="H19" i="5"/>
  <c r="J19" i="5" s="1"/>
  <c r="F20" i="5"/>
  <c r="E20" i="5" a="1"/>
  <c r="E20" i="5" s="1"/>
  <c r="A21" i="5"/>
  <c r="G20" i="5"/>
  <c r="E20" i="4" a="1"/>
  <c r="E20" i="4" s="1"/>
  <c r="A21" i="4"/>
  <c r="O20" i="5" l="1"/>
  <c r="P20" i="5" s="1"/>
  <c r="Q19" i="5"/>
  <c r="M20" i="5"/>
  <c r="N20" i="5"/>
  <c r="L21" i="5"/>
  <c r="K21" i="5"/>
  <c r="I21" i="5"/>
  <c r="G21" i="5"/>
  <c r="F21" i="5"/>
  <c r="E21" i="5" a="1"/>
  <c r="E21" i="5" s="1"/>
  <c r="A22" i="5"/>
  <c r="H20" i="5"/>
  <c r="J20" i="5" s="1"/>
  <c r="E21" i="4" a="1"/>
  <c r="E21" i="4" s="1"/>
  <c r="A22" i="4"/>
  <c r="O21" i="5" l="1"/>
  <c r="P21" i="5" s="1"/>
  <c r="Q20" i="5"/>
  <c r="N21" i="5"/>
  <c r="M21" i="5"/>
  <c r="L22" i="5"/>
  <c r="K22" i="5"/>
  <c r="I22" i="5"/>
  <c r="H21" i="5"/>
  <c r="J21" i="5" s="1"/>
  <c r="G22" i="5"/>
  <c r="E22" i="5" a="1"/>
  <c r="E22" i="5" s="1"/>
  <c r="F22" i="5"/>
  <c r="A23" i="5"/>
  <c r="E22" i="4" a="1"/>
  <c r="E22" i="4" s="1"/>
  <c r="A23" i="4"/>
  <c r="O22" i="5" l="1"/>
  <c r="P22" i="5" s="1"/>
  <c r="Q21" i="5"/>
  <c r="N22" i="5"/>
  <c r="M22" i="5"/>
  <c r="L23" i="5"/>
  <c r="K23" i="5"/>
  <c r="I23" i="5"/>
  <c r="H22" i="5"/>
  <c r="J22" i="5" s="1"/>
  <c r="E23" i="5" a="1"/>
  <c r="E23" i="5" s="1"/>
  <c r="A24" i="5"/>
  <c r="G23" i="5"/>
  <c r="F23" i="5"/>
  <c r="A24" i="4"/>
  <c r="E23" i="4" a="1"/>
  <c r="E23" i="4" s="1"/>
  <c r="O23" i="5" l="1"/>
  <c r="P23" i="5" s="1"/>
  <c r="Q22" i="5"/>
  <c r="N23" i="5"/>
  <c r="M23" i="5"/>
  <c r="L24" i="5"/>
  <c r="K24" i="5"/>
  <c r="I24" i="5"/>
  <c r="H23" i="5"/>
  <c r="J23" i="5" s="1"/>
  <c r="F24" i="5"/>
  <c r="E24" i="5" a="1"/>
  <c r="E24" i="5" s="1"/>
  <c r="A25" i="5"/>
  <c r="G24" i="5"/>
  <c r="A25" i="4"/>
  <c r="E25" i="4" s="1" a="1"/>
  <c r="E25" i="4" s="1"/>
  <c r="E24" i="4" a="1"/>
  <c r="E24" i="4" s="1"/>
  <c r="O24" i="5" l="1"/>
  <c r="P24" i="5" s="1"/>
  <c r="Q23" i="5"/>
  <c r="N24" i="5"/>
  <c r="M24" i="5"/>
  <c r="J24" i="5"/>
  <c r="L25" i="5"/>
  <c r="K25" i="5"/>
  <c r="I25" i="5"/>
  <c r="G25" i="5"/>
  <c r="F25" i="5"/>
  <c r="E25" i="5" a="1"/>
  <c r="E25" i="5" s="1"/>
  <c r="H24" i="5"/>
  <c r="Q24" i="5" l="1"/>
  <c r="O25" i="5"/>
  <c r="P25" i="5" s="1"/>
  <c r="N25" i="5"/>
  <c r="M25" i="5"/>
  <c r="H25" i="5"/>
  <c r="J25" i="5" s="1"/>
  <c r="Q2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<sst xmlns="http://schemas.openxmlformats.org/spreadsheetml/2006/main" count="235" uniqueCount="39">
  <si>
    <t xml:space="preserve">Residential </t>
  </si>
  <si>
    <t xml:space="preserve"> RS1 </t>
  </si>
  <si>
    <t xml:space="preserve"> Customer Charge </t>
  </si>
  <si>
    <t xml:space="preserve"> $/month </t>
  </si>
  <si>
    <t xml:space="preserve"> Energy Charge </t>
  </si>
  <si>
    <t xml:space="preserve"> $/kWh </t>
  </si>
  <si>
    <t xml:space="preserve"> Fuel Adder </t>
  </si>
  <si>
    <t xml:space="preserve"> Adjustment Adder </t>
  </si>
  <si>
    <t xml:space="preserve">Res 500 </t>
  </si>
  <si>
    <t xml:space="preserve">Res 1000 </t>
  </si>
  <si>
    <t xml:space="preserve">Res 2000 </t>
  </si>
  <si>
    <t>Residential</t>
  </si>
  <si>
    <t>RS1</t>
  </si>
  <si>
    <t>Value</t>
  </si>
  <si>
    <t>CustomerClass</t>
  </si>
  <si>
    <t>RateSchedule</t>
  </si>
  <si>
    <t>ComponentName</t>
  </si>
  <si>
    <t>ComponentType</t>
  </si>
  <si>
    <t>Unit</t>
  </si>
  <si>
    <t>EffectiveStart</t>
  </si>
  <si>
    <t>EffectiveEnd</t>
  </si>
  <si>
    <t>Fixed</t>
  </si>
  <si>
    <t>Variable</t>
  </si>
  <si>
    <t>kWh</t>
  </si>
  <si>
    <t>Revenue</t>
  </si>
  <si>
    <t>ProfileName</t>
  </si>
  <si>
    <t>Customers</t>
  </si>
  <si>
    <t>UsageMonth</t>
  </si>
  <si>
    <t>VariableRate</t>
  </si>
  <si>
    <t>FixedCharge</t>
  </si>
  <si>
    <t>PriorRevenue</t>
  </si>
  <si>
    <t>PriorFixedCharge</t>
  </si>
  <si>
    <t>RevenueChange</t>
  </si>
  <si>
    <t>VolumeEffect</t>
  </si>
  <si>
    <t>FixedChargeEffect</t>
  </si>
  <si>
    <t>Residual</t>
  </si>
  <si>
    <t>PriorkWh</t>
  </si>
  <si>
    <t>Priorrate</t>
  </si>
  <si>
    <t>RateEffect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</si>
</sst>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1F66A3-6D46-4930-9315-BA061F19D53D}" name="tblRateComponents" displayName="tblRateComponents" ref="A1:H9" totalsRowShown="0">
  <autoFilter ref="A1:H9" xr:uid="{AD1F66A3-6D46-4930-9315-BA061F19D53D}"/>
  <tableColumns count="8">
    <tableColumn id="1" xr3:uid="{4CE894CC-3022-4C91-87DE-14087E360BDE}" name="CustomerClass"/>
    <tableColumn id="2" xr3:uid="{A625C4AB-83A1-465B-9CEF-A9B1ECBE6346}" name="RateSchedule"/>
    <tableColumn id="3" xr3:uid="{91A754D1-4B5C-49CB-881D-FD35B25EBA5B}" name="ComponentName"/>
    <tableColumn id="4" xr3:uid="{4F82B4A3-D0FE-40E6-B4A9-30C7B8FB1DE6}" name="ComponentType"/>
    <tableColumn id="5" xr3:uid="{AECFBA8C-F2B9-4274-B811-EF4C32E632D8}" name="Unit"/>
    <tableColumn id="6" xr3:uid="{77AB8F3E-3AF4-4D45-A3E6-B1DB359E6FFD}" name="EffectiveStart"/>
    <tableColumn id="7" xr3:uid="{CE531057-0AFA-4BEB-8955-ABC56A4A486C}" name="EffectiveEnd"/>
    <tableColumn id="8" xr3:uid="{757F473D-9BEE-41A2-BA1B-CC8813975B41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6A528-F38A-49A9-9E06-922686C255DD}" name="tblCustomerProfiles" displayName="tblCustomerProfiles" ref="A1:D4" totalsRowShown="0">
  <autoFilter ref="A1:D4" xr:uid="{1186A528-F38A-49A9-9E06-922686C255DD}"/>
  <tableColumns count="4">
    <tableColumn id="1" xr3:uid="{834F9002-3521-4CD3-9F9C-FCB5AFB647E1}" name="ProfileName"/>
    <tableColumn id="2" xr3:uid="{BF6C409E-0587-432E-A144-38EB1C82845A}" name="CustomerClass"/>
    <tableColumn id="3" xr3:uid="{B2EA8556-159E-43BA-8DCC-CC595DC9B52F}" name="RateSchedule"/>
    <tableColumn id="4" xr3:uid="{6AC09902-328C-48DE-886F-76DA1E2321E3}" name="kW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F301C-5DC1-49C2-BA63-0CFCD594B9D0}" name="tblUsageMonthly" displayName="tblUsageMonthly" ref="A1:E25" totalsRowShown="0">
  <autoFilter ref="A1:E25" xr:uid="{A21F301C-5DC1-49C2-BA63-0CFCD594B9D0}"/>
  <tableColumns count="5">
    <tableColumn id="1" xr3:uid="{D40C00BC-5747-47D7-8071-36C3EFC586FD}" name="UsageMonth" dataDxfId="20">
      <calculatedColumnFormula>EDATE(A1,1)</calculatedColumnFormula>
    </tableColumn>
    <tableColumn id="2" xr3:uid="{B3E48751-FC96-423D-913F-5213ECA4C8D3}" name="CustomerClass"/>
    <tableColumn id="3" xr3:uid="{DAA50BE5-C4B1-4F25-9D5F-FD712D8BA3A1}" name="RateSchedule"/>
    <tableColumn id="4" xr3:uid="{37C431A2-E2A7-400E-AD8B-3219D1CBB7D2}" name="Customers"/>
    <tableColumn id="5" xr3:uid="{9F8A5EF7-EAF4-4F55-B1EF-57C62C286DA1}" name="kWh" dataDxfId="19">
      <calculatedColumnFormula array="1">ROUND(100000000*INDEX({0.94,0.92,0.9,0.92,0.98,1.1,1.22,1.2,1.08,0.99,0.96,0.94},MONTH(A2)),0)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970E01-E8B4-4F80-B452-3D7E1AF5ECFC}" name="tblRevenueMonthly" displayName="tblRevenueMonthly" ref="A1:H25" totalsRowShown="0">
  <autoFilter ref="A1:H25" xr:uid="{65970E01-E8B4-4F80-B452-3D7E1AF5ECFC}"/>
  <tableColumns count="8">
    <tableColumn id="1" xr3:uid="{AC0BBF51-0923-40E6-81F9-290277D023CD}" name="UsageMonth" dataDxfId="18">
      <calculatedColumnFormula>EDATE(A1,1)</calculatedColumnFormula>
    </tableColumn>
    <tableColumn id="2" xr3:uid="{FC7E49F2-9D81-4395-8FC4-9D07B6FCB5AA}" name="CustomerClass"/>
    <tableColumn id="3" xr3:uid="{6EA4FEB0-346E-4D30-BE78-F4E203246008}" name="RateSchedule"/>
    <tableColumn id="4" xr3:uid="{3D7A5465-314B-4A5B-858B-C42E12388F0D}" name="Customers"/>
    <tableColumn id="5" xr3:uid="{319446DD-9E7A-48BB-9F4E-B3B880203C35}" name="kWh" dataDxfId="17">
      <calculatedColumnFormula array="1">ROUND(100000000*INDEX({0.94,0.92,0.9,0.92,0.98,1.1,1.22,1.2,1.08,0.99,0.96,0.94},MONTH(A2)),0)</calculatedColumnFormula>
    </tableColumn>
    <tableColumn id="6" xr3:uid="{53A4F05B-B148-49B0-8458-58788B091D40}" name="FixedCharge" dataDxfId="16">
      <calculatedColumnFormula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calculatedColumnFormula>
    </tableColumn>
    <tableColumn id="7" xr3:uid="{5219DB83-81D9-4D37-BE98-3B2211A70B1F}" name="VariableRate" dataDxfId="15">
      <calculatedColumnFormula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calculatedColumnFormula>
    </tableColumn>
    <tableColumn id="8" xr3:uid="{664DA9A5-7341-484A-B9FA-03805BCB4F3F}" name="Revenue" dataDxfId="14">
      <calculatedColumnFormula>tblRevenueMonthly[[#This Row],[Customers]]*tblRevenueMonthly[[#This Row],[FixedCharge]]+tblRevenueMonthly[[#This Row],[kWh]]*tblRevenueMonthly[[#This Row],[VariableRate]]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B8A37A-3855-426B-BA93-B2C6128683B6}" name="tblRevenueMonthly6" displayName="tblRevenueMonthly6" ref="A1:Q25" totalsRowShown="0">
  <autoFilter ref="A1:Q25" xr:uid="{46B8A37A-3855-426B-BA93-B2C6128683B6}"/>
  <tableColumns count="17">
    <tableColumn id="1" xr3:uid="{8713231F-D403-41F3-BA56-37EF97047212}" name="UsageMonth" dataDxfId="13">
      <calculatedColumnFormula>EDATE(A1,1)</calculatedColumnFormula>
    </tableColumn>
    <tableColumn id="2" xr3:uid="{7ED97B69-86FF-4F32-8337-FD41075C11A8}" name="CustomerClass"/>
    <tableColumn id="3" xr3:uid="{5332613F-009F-4EA8-8378-AB135F31F3C9}" name="RateSchedule"/>
    <tableColumn id="4" xr3:uid="{0A3A64C5-E68A-4C34-B087-E0A1E79360C4}" name="Customers"/>
    <tableColumn id="5" xr3:uid="{75387BA7-8186-4969-A7FA-44742483DD64}" name="kWh" dataDxfId="12">
      <calculatedColumnFormula array="1">ROUND(100000000*INDEX({0.94,0.92,0.9,0.92,0.98,1.1,1.22,1.2,1.08,0.99,0.96,0.94},MONTH(A2)),0)</calculatedColumnFormula>
    </tableColumn>
    <tableColumn id="6" xr3:uid="{55D24CF1-EF2C-451B-9473-DCAE857CC56B}" name="FixedCharge" dataDxfId="11">
      <calculatedColumnFormula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calculatedColumnFormula>
    </tableColumn>
    <tableColumn id="7" xr3:uid="{831E7B36-0361-453F-BB45-71CD141774F9}" name="VariableRate" dataDxfId="10">
      <calculatedColumnFormula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calculatedColumnFormula>
    </tableColumn>
    <tableColumn id="8" xr3:uid="{254C9388-15F7-4DA8-B10C-697864D6C411}" name="Revenue" dataDxfId="9">
      <calculatedColumnFormula>tblRevenueMonthly6[[#This Row],[Customers]]*tblRevenueMonthly6[[#This Row],[FixedCharge]]+tblRevenueMonthly6[[#This Row],[kWh]]*tblRevenueMonthly6[[#This Row],[VariableRate]]</calculatedColumnFormula>
    </tableColumn>
    <tableColumn id="9" xr3:uid="{40052467-EA85-45C3-9492-DC356901A290}" name="PriorRevenue" dataDxfId="8">
      <calculatedColumnFormula>IFERROR(_xlfn.XLOOKUP(EDATE(tblRevenueMonthly6[[#This Row],[UsageMonth]],-1),tblRevenueMonthly[UsageMonth],tblRevenueMonthly[Revenue],0),0)</calculatedColumnFormula>
    </tableColumn>
    <tableColumn id="10" xr3:uid="{7931D260-CB14-460B-BA7F-C3C48FBE3386}" name="RevenueChange" dataDxfId="5">
      <calculatedColumnFormula>IF(tblRevenueMonthly6[[#This Row],[PriorRevenue]]=0,0,tblRevenueMonthly6[[#This Row],[Revenue]]-tblRevenueMonthly6[[#This Row],[PriorRevenue]])</calculatedColumnFormula>
    </tableColumn>
    <tableColumn id="11" xr3:uid="{448F9604-70C8-435D-9A4F-37116E2EFDBF}" name="PriorkWh" dataDxfId="7">
      <calculatedColumnFormula>IFERROR(_xlfn.XLOOKUP(EDATE(tblRevenueMonthly6[[#This Row],[UsageMonth]],-1),tblRevenueMonthly[UsageMonth],tblRevenueMonthly[kWh],0),0)</calculatedColumnFormula>
    </tableColumn>
    <tableColumn id="12" xr3:uid="{F66E0F43-877D-4CF4-9DC5-0CE76DD70A28}" name="Priorrate" dataDxfId="6">
      <calculatedColumnFormula>IFERROR(_xlfn.XLOOKUP(EDATE(tblRevenueMonthly6[[#This Row],[UsageMonth]],-1),tblRevenueMonthly[UsageMonth],tblRevenueMonthly[VariableRate],0),0)</calculatedColumnFormula>
    </tableColumn>
    <tableColumn id="13" xr3:uid="{99FF9054-A72F-435A-92D6-FE75A3135435}" name="VolumeEffect" dataDxfId="4">
      <calculatedColumnFormula>IF(tblRevenueMonthly6[[#This Row],[PriorRevenue]]=0,0,(tblRevenueMonthly6[[#This Row],[kWh]]-tblRevenueMonthly6[[#This Row],[PriorkWh]])*tblRevenueMonthly6[[#This Row],[Priorrate]])</calculatedColumnFormula>
    </tableColumn>
    <tableColumn id="14" xr3:uid="{F419A53C-05E1-4A72-8A46-BB67DC94E196}" name="RateEffect" dataDxfId="2">
      <calculatedColumnFormula>IF(tblRevenueMonthly6[[#This Row],[PriorRevenue]]=0,0,tblRevenueMonthly6[[#This Row],[kWh]]*(tblRevenueMonthly6[[#This Row],[VariableRate]]-tblRevenueMonthly6[[#This Row],[Priorrate]]))</calculatedColumnFormula>
    </tableColumn>
    <tableColumn id="17" xr3:uid="{7B5DEDF8-C46B-41EE-AA0F-2CA0F0437CA2}" name="PriorFixedCharge" dataDxfId="0">
      <calculatedColumnFormula>IF(tblRevenueMonthly6[[#This Row],[PriorRevenue]]=0,0,_xlfn.XLOOKUP(EDATE(tblRevenueMonthly6[[#This Row],[UsageMonth]],-1),tblRevenueMonthly[UsageMonth],tblRevenueMonthly[FixedCharge],0))</calculatedColumnFormula>
    </tableColumn>
    <tableColumn id="15" xr3:uid="{2649BFFB-21DF-4808-85A9-E8A99866A164}" name="FixedChargeEffect" dataDxfId="1">
      <calculatedColumnFormula>IF(tblRevenueMonthly6[[#This Row],[PriorRevenue]]=0,0,tblRevenueMonthly6[[#This Row],[Customers]]*(tblRevenueMonthly6[[#This Row],[FixedCharge]]-tblRevenueMonthly6[[#This Row],[PriorFixedCharge]]))</calculatedColumnFormula>
    </tableColumn>
    <tableColumn id="16" xr3:uid="{7D2F1EF8-55B2-4749-A5C9-C7E8166AF35E}" name="Residual" dataDxfId="3">
      <calculatedColumnFormula>IF(tblRevenueMonthly6[[#This Row],[PriorRevenue]]=0,0,tblRevenueMonthly6[[#This Row],[RevenueChange]]-(tblRevenueMonthly6[[#This Row],[VolumeEffect]]+tblRevenueMonthly6[[#This Row],[RateEffect]]+tblRevenueMonthly6[[#This Row],[FixedChargeEffect]]))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BE7C-647F-4C9E-8707-C172C6DBCD5B}">
  <dimension ref="A1:H9"/>
  <sheetViews>
    <sheetView workbookViewId="0">
      <selection activeCell="K14" sqref="K14"/>
    </sheetView>
  </sheetViews>
  <sheetFormatPr defaultRowHeight="14.4" x14ac:dyDescent="0.3"/>
  <cols>
    <col min="1" max="1" width="15.88671875" customWidth="1"/>
    <col min="2" max="2" width="15.109375" customWidth="1"/>
    <col min="3" max="3" width="18.21875" customWidth="1"/>
    <col min="4" max="4" width="17.109375" customWidth="1"/>
    <col min="6" max="6" width="14.88671875" customWidth="1"/>
    <col min="7" max="7" width="13.88671875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13</v>
      </c>
    </row>
    <row r="2" spans="1:8" x14ac:dyDescent="0.3">
      <c r="A2" t="s">
        <v>11</v>
      </c>
      <c r="B2" t="s">
        <v>12</v>
      </c>
      <c r="C2" t="s">
        <v>2</v>
      </c>
      <c r="D2" t="s">
        <v>21</v>
      </c>
      <c r="E2" t="s">
        <v>3</v>
      </c>
      <c r="F2" s="1">
        <v>45658</v>
      </c>
      <c r="G2" s="1">
        <v>46022</v>
      </c>
      <c r="H2">
        <v>10</v>
      </c>
    </row>
    <row r="3" spans="1:8" x14ac:dyDescent="0.3">
      <c r="A3" t="s">
        <v>11</v>
      </c>
      <c r="B3" t="s">
        <v>12</v>
      </c>
      <c r="C3" t="s">
        <v>4</v>
      </c>
      <c r="D3" t="s">
        <v>22</v>
      </c>
      <c r="E3" t="s">
        <v>5</v>
      </c>
      <c r="F3" s="1">
        <v>45658</v>
      </c>
      <c r="G3" s="1">
        <v>46022</v>
      </c>
      <c r="H3">
        <v>0.12</v>
      </c>
    </row>
    <row r="4" spans="1:8" x14ac:dyDescent="0.3">
      <c r="A4" t="s">
        <v>11</v>
      </c>
      <c r="B4" t="s">
        <v>12</v>
      </c>
      <c r="C4" t="s">
        <v>6</v>
      </c>
      <c r="D4" t="s">
        <v>22</v>
      </c>
      <c r="E4" t="s">
        <v>5</v>
      </c>
      <c r="F4" s="1">
        <v>45658</v>
      </c>
      <c r="G4" s="1">
        <v>46022</v>
      </c>
      <c r="H4">
        <v>0.03</v>
      </c>
    </row>
    <row r="5" spans="1:8" x14ac:dyDescent="0.3">
      <c r="A5" t="s">
        <v>11</v>
      </c>
      <c r="B5" t="s">
        <v>12</v>
      </c>
      <c r="C5" t="s">
        <v>7</v>
      </c>
      <c r="D5" t="s">
        <v>22</v>
      </c>
      <c r="E5" t="s">
        <v>5</v>
      </c>
      <c r="F5" s="1">
        <v>45658</v>
      </c>
      <c r="G5" s="1">
        <v>46022</v>
      </c>
      <c r="H5">
        <v>5.0000000000000001E-3</v>
      </c>
    </row>
    <row r="6" spans="1:8" x14ac:dyDescent="0.3">
      <c r="A6" t="s">
        <v>11</v>
      </c>
      <c r="B6" t="s">
        <v>12</v>
      </c>
      <c r="C6" t="s">
        <v>2</v>
      </c>
      <c r="D6" t="s">
        <v>21</v>
      </c>
      <c r="E6" t="s">
        <v>3</v>
      </c>
      <c r="F6" s="1">
        <v>46023</v>
      </c>
      <c r="G6" s="1">
        <v>46387</v>
      </c>
      <c r="H6">
        <v>12</v>
      </c>
    </row>
    <row r="7" spans="1:8" x14ac:dyDescent="0.3">
      <c r="A7" t="s">
        <v>11</v>
      </c>
      <c r="B7" t="s">
        <v>12</v>
      </c>
      <c r="C7" t="s">
        <v>4</v>
      </c>
      <c r="D7" t="s">
        <v>22</v>
      </c>
      <c r="E7" t="s">
        <v>5</v>
      </c>
      <c r="F7" s="1">
        <v>46023</v>
      </c>
      <c r="G7" s="1">
        <v>46387</v>
      </c>
      <c r="H7">
        <v>0.125</v>
      </c>
    </row>
    <row r="8" spans="1:8" x14ac:dyDescent="0.3">
      <c r="A8" t="s">
        <v>11</v>
      </c>
      <c r="B8" t="s">
        <v>12</v>
      </c>
      <c r="C8" t="s">
        <v>6</v>
      </c>
      <c r="D8" t="s">
        <v>22</v>
      </c>
      <c r="E8" t="s">
        <v>5</v>
      </c>
      <c r="F8" s="1">
        <v>46023</v>
      </c>
      <c r="G8" s="1">
        <v>46387</v>
      </c>
      <c r="H8">
        <v>2.8000000000000001E-2</v>
      </c>
    </row>
    <row r="9" spans="1:8" x14ac:dyDescent="0.3">
      <c r="A9" t="s">
        <v>11</v>
      </c>
      <c r="B9" t="s">
        <v>12</v>
      </c>
      <c r="C9" t="s">
        <v>7</v>
      </c>
      <c r="D9" t="s">
        <v>22</v>
      </c>
      <c r="E9" t="s">
        <v>5</v>
      </c>
      <c r="F9" s="1">
        <v>46023</v>
      </c>
      <c r="G9" s="1">
        <v>46387</v>
      </c>
      <c r="H9">
        <v>6.0000000000000001E-3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E3B3-FC6A-405F-9A8B-A4A5EF88004F}">
  <dimension ref="A1:D4"/>
  <sheetViews>
    <sheetView workbookViewId="0">
      <selection activeCell="B2" sqref="B2"/>
    </sheetView>
  </sheetViews>
  <sheetFormatPr defaultRowHeight="14.4" x14ac:dyDescent="0.3"/>
  <cols>
    <col min="1" max="1" width="13.6640625" customWidth="1"/>
    <col min="2" max="2" width="16.21875" customWidth="1"/>
    <col min="3" max="3" width="15.109375" customWidth="1"/>
  </cols>
  <sheetData>
    <row r="1" spans="1:4" x14ac:dyDescent="0.3">
      <c r="A1" t="s">
        <v>25</v>
      </c>
      <c r="B1" t="s">
        <v>14</v>
      </c>
      <c r="C1" t="s">
        <v>15</v>
      </c>
      <c r="D1" t="s">
        <v>23</v>
      </c>
    </row>
    <row r="2" spans="1:4" x14ac:dyDescent="0.3">
      <c r="A2" t="s">
        <v>8</v>
      </c>
      <c r="B2" t="s">
        <v>0</v>
      </c>
      <c r="C2" t="s">
        <v>1</v>
      </c>
      <c r="D2">
        <v>500</v>
      </c>
    </row>
    <row r="3" spans="1:4" x14ac:dyDescent="0.3">
      <c r="A3" t="s">
        <v>9</v>
      </c>
      <c r="B3" t="s">
        <v>0</v>
      </c>
      <c r="C3" t="s">
        <v>1</v>
      </c>
      <c r="D3">
        <v>1000</v>
      </c>
    </row>
    <row r="4" spans="1:4" x14ac:dyDescent="0.3">
      <c r="A4" t="s">
        <v>10</v>
      </c>
      <c r="B4" t="s">
        <v>0</v>
      </c>
      <c r="C4" t="s">
        <v>1</v>
      </c>
      <c r="D4"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61EA-8E45-44EE-8462-3E929891294D}">
  <dimension ref="A1:E25"/>
  <sheetViews>
    <sheetView tabSelected="1" zoomScaleNormal="100" workbookViewId="0">
      <selection activeCell="A12" sqref="A12:XFD12"/>
    </sheetView>
  </sheetViews>
  <sheetFormatPr defaultRowHeight="14.4" x14ac:dyDescent="0.3"/>
  <cols>
    <col min="1" max="1" width="13.33203125" style="1" customWidth="1"/>
    <col min="2" max="2" width="16.21875" customWidth="1"/>
    <col min="3" max="3" width="15.109375" customWidth="1"/>
    <col min="4" max="4" width="12.5546875" customWidth="1"/>
    <col min="5" max="5" width="12.5546875" style="2" bestFit="1" customWidth="1"/>
  </cols>
  <sheetData>
    <row r="1" spans="1:5" x14ac:dyDescent="0.3">
      <c r="A1" s="1" t="s">
        <v>27</v>
      </c>
      <c r="B1" t="s">
        <v>14</v>
      </c>
      <c r="C1" t="s">
        <v>15</v>
      </c>
      <c r="D1" t="s">
        <v>26</v>
      </c>
      <c r="E1" s="2" t="s">
        <v>23</v>
      </c>
    </row>
    <row r="2" spans="1:5" x14ac:dyDescent="0.3">
      <c r="A2" s="1">
        <v>45658</v>
      </c>
      <c r="B2" t="s">
        <v>11</v>
      </c>
      <c r="C2" t="s">
        <v>12</v>
      </c>
      <c r="D2">
        <v>100000</v>
      </c>
      <c r="E2" s="2" cm="1">
        <f t="array" ref="E2">ROUND(100000000*INDEX({0.94,0.92,0.9,0.92,0.98,1.1,1.22,1.2,1.08,0.99,0.96,0.94},MONTH(A2)),0)</f>
        <v>94000000</v>
      </c>
    </row>
    <row r="3" spans="1:5" x14ac:dyDescent="0.3">
      <c r="A3" s="1">
        <f>EDATE(A2,1)</f>
        <v>45689</v>
      </c>
      <c r="B3" t="s">
        <v>11</v>
      </c>
      <c r="C3" t="s">
        <v>12</v>
      </c>
      <c r="D3">
        <v>100000</v>
      </c>
      <c r="E3" s="2" cm="1">
        <f t="array" ref="E3">ROUND(100000000*INDEX({0.94,0.92,0.9,0.92,0.98,1.1,1.22,1.2,1.08,0.99,0.96,0.94},MONTH(A3)),0)</f>
        <v>92000000</v>
      </c>
    </row>
    <row r="4" spans="1:5" x14ac:dyDescent="0.3">
      <c r="A4" s="1">
        <f t="shared" ref="A4:A25" si="0">EDATE(A3,1)</f>
        <v>45717</v>
      </c>
      <c r="B4" t="s">
        <v>11</v>
      </c>
      <c r="C4" t="s">
        <v>12</v>
      </c>
      <c r="D4">
        <v>100000</v>
      </c>
      <c r="E4" s="2" cm="1">
        <f t="array" ref="E4">ROUND(100000000*INDEX({0.94,0.92,0.9,0.92,0.98,1.1,1.22,1.2,1.08,0.99,0.96,0.94},MONTH(A4)),0)</f>
        <v>90000000</v>
      </c>
    </row>
    <row r="5" spans="1:5" x14ac:dyDescent="0.3">
      <c r="A5" s="1">
        <f t="shared" si="0"/>
        <v>45748</v>
      </c>
      <c r="B5" t="s">
        <v>11</v>
      </c>
      <c r="C5" t="s">
        <v>12</v>
      </c>
      <c r="D5">
        <v>100000</v>
      </c>
      <c r="E5" s="2" cm="1">
        <f t="array" ref="E5">ROUND(100000000*INDEX({0.94,0.92,0.9,0.92,0.98,1.1,1.22,1.2,1.08,0.99,0.96,0.94},MONTH(A5)),0)</f>
        <v>92000000</v>
      </c>
    </row>
    <row r="6" spans="1:5" x14ac:dyDescent="0.3">
      <c r="A6" s="1">
        <f t="shared" si="0"/>
        <v>45778</v>
      </c>
      <c r="B6" t="s">
        <v>11</v>
      </c>
      <c r="C6" t="s">
        <v>12</v>
      </c>
      <c r="D6">
        <v>100000</v>
      </c>
      <c r="E6" s="2" cm="1">
        <f t="array" ref="E6">ROUND(100000000*INDEX({0.94,0.92,0.9,0.92,0.98,1.1,1.22,1.2,1.08,0.99,0.96,0.94},MONTH(A6)),0)</f>
        <v>98000000</v>
      </c>
    </row>
    <row r="7" spans="1:5" x14ac:dyDescent="0.3">
      <c r="A7" s="1">
        <f t="shared" si="0"/>
        <v>45809</v>
      </c>
      <c r="B7" t="s">
        <v>11</v>
      </c>
      <c r="C7" t="s">
        <v>12</v>
      </c>
      <c r="D7">
        <v>100000</v>
      </c>
      <c r="E7" s="2" cm="1">
        <f t="array" ref="E7">ROUND(100000000*INDEX({0.94,0.92,0.9,0.92,0.98,1.1,1.22,1.2,1.08,0.99,0.96,0.94},MONTH(A7)),0)</f>
        <v>110000000</v>
      </c>
    </row>
    <row r="8" spans="1:5" x14ac:dyDescent="0.3">
      <c r="A8" s="1">
        <f t="shared" si="0"/>
        <v>45839</v>
      </c>
      <c r="B8" t="s">
        <v>11</v>
      </c>
      <c r="C8" t="s">
        <v>12</v>
      </c>
      <c r="D8">
        <v>100000</v>
      </c>
      <c r="E8" s="2" cm="1">
        <f t="array" ref="E8">ROUND(100000000*INDEX({0.94,0.92,0.9,0.92,0.98,1.1,1.22,1.2,1.08,0.99,0.96,0.94},MONTH(A8)),0)</f>
        <v>122000000</v>
      </c>
    </row>
    <row r="9" spans="1:5" x14ac:dyDescent="0.3">
      <c r="A9" s="1">
        <f t="shared" si="0"/>
        <v>45870</v>
      </c>
      <c r="B9" t="s">
        <v>11</v>
      </c>
      <c r="C9" t="s">
        <v>12</v>
      </c>
      <c r="D9">
        <v>100000</v>
      </c>
      <c r="E9" s="2" cm="1">
        <f t="array" ref="E9">ROUND(100000000*INDEX({0.94,0.92,0.9,0.92,0.98,1.1,1.22,1.2,1.08,0.99,0.96,0.94},MONTH(A9)),0)</f>
        <v>120000000</v>
      </c>
    </row>
    <row r="10" spans="1:5" x14ac:dyDescent="0.3">
      <c r="A10" s="1">
        <f t="shared" si="0"/>
        <v>45901</v>
      </c>
      <c r="B10" t="s">
        <v>11</v>
      </c>
      <c r="C10" t="s">
        <v>12</v>
      </c>
      <c r="D10">
        <v>100000</v>
      </c>
      <c r="E10" s="2" cm="1">
        <f t="array" ref="E10">ROUND(100000000*INDEX({0.94,0.92,0.9,0.92,0.98,1.1,1.22,1.2,1.08,0.99,0.96,0.94},MONTH(A10)),0)</f>
        <v>108000000</v>
      </c>
    </row>
    <row r="11" spans="1:5" x14ac:dyDescent="0.3">
      <c r="A11" s="1">
        <f t="shared" si="0"/>
        <v>45931</v>
      </c>
      <c r="B11" t="s">
        <v>11</v>
      </c>
      <c r="C11" t="s">
        <v>12</v>
      </c>
      <c r="D11">
        <v>100000</v>
      </c>
      <c r="E11" s="2" cm="1">
        <f t="array" ref="E11">ROUND(100000000*INDEX({0.94,0.92,0.9,0.92,0.98,1.1,1.22,1.2,1.08,0.99,0.96,0.94},MONTH(A11)),0)</f>
        <v>99000000</v>
      </c>
    </row>
    <row r="12" spans="1:5" x14ac:dyDescent="0.3">
      <c r="A12" s="1">
        <f t="shared" si="0"/>
        <v>45962</v>
      </c>
      <c r="B12" t="s">
        <v>11</v>
      </c>
      <c r="C12" t="s">
        <v>12</v>
      </c>
      <c r="D12">
        <v>100000</v>
      </c>
      <c r="E12" s="2" cm="1">
        <f t="array" ref="E12">ROUND(100000000*INDEX({0.94,0.92,0.9,0.92,0.98,1.1,1.22,1.2,1.08,0.99,0.96,0.94},MONTH(A12)),0)</f>
        <v>96000000</v>
      </c>
    </row>
    <row r="13" spans="1:5" x14ac:dyDescent="0.3">
      <c r="A13" s="1">
        <f t="shared" si="0"/>
        <v>45992</v>
      </c>
      <c r="B13" t="s">
        <v>11</v>
      </c>
      <c r="C13" t="s">
        <v>12</v>
      </c>
      <c r="D13">
        <v>100000</v>
      </c>
      <c r="E13" s="2" cm="1">
        <f t="array" ref="E13">ROUND(100000000*INDEX({0.94,0.92,0.9,0.92,0.98,1.1,1.22,1.2,1.08,0.99,0.96,0.94},MONTH(A13)),0)</f>
        <v>94000000</v>
      </c>
    </row>
    <row r="14" spans="1:5" x14ac:dyDescent="0.3">
      <c r="A14" s="1">
        <f t="shared" si="0"/>
        <v>46023</v>
      </c>
      <c r="B14" t="s">
        <v>11</v>
      </c>
      <c r="C14" t="s">
        <v>12</v>
      </c>
      <c r="D14">
        <v>100000</v>
      </c>
      <c r="E14" s="2" cm="1">
        <f t="array" ref="E14">ROUND(100000000*INDEX({0.94,0.92,0.9,0.92,0.98,1.1,1.22,1.2,1.08,0.99,0.96,0.94},MONTH(A14)),0)</f>
        <v>94000000</v>
      </c>
    </row>
    <row r="15" spans="1:5" x14ac:dyDescent="0.3">
      <c r="A15" s="1">
        <f t="shared" si="0"/>
        <v>46054</v>
      </c>
      <c r="B15" t="s">
        <v>11</v>
      </c>
      <c r="C15" t="s">
        <v>12</v>
      </c>
      <c r="D15">
        <v>100000</v>
      </c>
      <c r="E15" s="2" cm="1">
        <f t="array" ref="E15">ROUND(100000000*INDEX({0.94,0.92,0.9,0.92,0.98,1.1,1.22,1.2,1.08,0.99,0.96,0.94},MONTH(A15)),0)</f>
        <v>92000000</v>
      </c>
    </row>
    <row r="16" spans="1:5" x14ac:dyDescent="0.3">
      <c r="A16" s="1">
        <f t="shared" si="0"/>
        <v>46082</v>
      </c>
      <c r="B16" t="s">
        <v>11</v>
      </c>
      <c r="C16" t="s">
        <v>12</v>
      </c>
      <c r="D16">
        <v>100000</v>
      </c>
      <c r="E16" s="2" cm="1">
        <f t="array" ref="E16">ROUND(100000000*INDEX({0.94,0.92,0.9,0.92,0.98,1.1,1.22,1.2,1.08,0.99,0.96,0.94},MONTH(A16)),0)</f>
        <v>90000000</v>
      </c>
    </row>
    <row r="17" spans="1:5" x14ac:dyDescent="0.3">
      <c r="A17" s="1">
        <f t="shared" si="0"/>
        <v>46113</v>
      </c>
      <c r="B17" t="s">
        <v>11</v>
      </c>
      <c r="C17" t="s">
        <v>12</v>
      </c>
      <c r="D17">
        <v>100000</v>
      </c>
      <c r="E17" s="2" cm="1">
        <f t="array" ref="E17">ROUND(100000000*INDEX({0.94,0.92,0.9,0.92,0.98,1.1,1.22,1.2,1.08,0.99,0.96,0.94},MONTH(A17)),0)</f>
        <v>92000000</v>
      </c>
    </row>
    <row r="18" spans="1:5" x14ac:dyDescent="0.3">
      <c r="A18" s="1">
        <f t="shared" si="0"/>
        <v>46143</v>
      </c>
      <c r="B18" t="s">
        <v>11</v>
      </c>
      <c r="C18" t="s">
        <v>12</v>
      </c>
      <c r="D18">
        <v>100000</v>
      </c>
      <c r="E18" s="2" cm="1">
        <f t="array" ref="E18">ROUND(100000000*INDEX({0.94,0.92,0.9,0.92,0.98,1.1,1.22,1.2,1.08,0.99,0.96,0.94},MONTH(A18)),0)</f>
        <v>98000000</v>
      </c>
    </row>
    <row r="19" spans="1:5" x14ac:dyDescent="0.3">
      <c r="A19" s="1">
        <f t="shared" si="0"/>
        <v>46174</v>
      </c>
      <c r="B19" t="s">
        <v>11</v>
      </c>
      <c r="C19" t="s">
        <v>12</v>
      </c>
      <c r="D19">
        <v>100000</v>
      </c>
      <c r="E19" s="2" cm="1">
        <f t="array" ref="E19">ROUND(100000000*INDEX({0.94,0.92,0.9,0.92,0.98,1.1,1.22,1.2,1.08,0.99,0.96,0.94},MONTH(A19)),0)</f>
        <v>110000000</v>
      </c>
    </row>
    <row r="20" spans="1:5" x14ac:dyDescent="0.3">
      <c r="A20" s="1">
        <f t="shared" si="0"/>
        <v>46204</v>
      </c>
      <c r="B20" t="s">
        <v>11</v>
      </c>
      <c r="C20" t="s">
        <v>12</v>
      </c>
      <c r="D20">
        <v>100000</v>
      </c>
      <c r="E20" s="2" cm="1">
        <f t="array" ref="E20">ROUND(100000000*INDEX({0.94,0.92,0.9,0.92,0.98,1.1,1.22,1.2,1.08,0.99,0.96,0.94},MONTH(A20)),0)</f>
        <v>122000000</v>
      </c>
    </row>
    <row r="21" spans="1:5" x14ac:dyDescent="0.3">
      <c r="A21" s="1">
        <f t="shared" si="0"/>
        <v>46235</v>
      </c>
      <c r="B21" t="s">
        <v>11</v>
      </c>
      <c r="C21" t="s">
        <v>12</v>
      </c>
      <c r="D21">
        <v>100000</v>
      </c>
      <c r="E21" s="2" cm="1">
        <f t="array" ref="E21">ROUND(100000000*INDEX({0.94,0.92,0.9,0.92,0.98,1.1,1.22,1.2,1.08,0.99,0.96,0.94},MONTH(A21)),0)</f>
        <v>120000000</v>
      </c>
    </row>
    <row r="22" spans="1:5" x14ac:dyDescent="0.3">
      <c r="A22" s="1">
        <f t="shared" si="0"/>
        <v>46266</v>
      </c>
      <c r="B22" t="s">
        <v>11</v>
      </c>
      <c r="C22" t="s">
        <v>12</v>
      </c>
      <c r="D22">
        <v>100000</v>
      </c>
      <c r="E22" s="2" cm="1">
        <f t="array" ref="E22">ROUND(100000000*INDEX({0.94,0.92,0.9,0.92,0.98,1.1,1.22,1.2,1.08,0.99,0.96,0.94},MONTH(A22)),0)</f>
        <v>108000000</v>
      </c>
    </row>
    <row r="23" spans="1:5" x14ac:dyDescent="0.3">
      <c r="A23" s="1">
        <f t="shared" si="0"/>
        <v>46296</v>
      </c>
      <c r="B23" t="s">
        <v>11</v>
      </c>
      <c r="C23" t="s">
        <v>12</v>
      </c>
      <c r="D23">
        <v>100000</v>
      </c>
      <c r="E23" s="2" cm="1">
        <f t="array" ref="E23">ROUND(100000000*INDEX({0.94,0.92,0.9,0.92,0.98,1.1,1.22,1.2,1.08,0.99,0.96,0.94},MONTH(A23)),0)</f>
        <v>99000000</v>
      </c>
    </row>
    <row r="24" spans="1:5" x14ac:dyDescent="0.3">
      <c r="A24" s="1">
        <f t="shared" si="0"/>
        <v>46327</v>
      </c>
      <c r="B24" t="s">
        <v>11</v>
      </c>
      <c r="C24" t="s">
        <v>12</v>
      </c>
      <c r="D24">
        <v>100000</v>
      </c>
      <c r="E24" s="2" cm="1">
        <f t="array" ref="E24">ROUND(100000000*INDEX({0.94,0.92,0.9,0.92,0.98,1.1,1.22,1.2,1.08,0.99,0.96,0.94},MONTH(A24)),0)</f>
        <v>96000000</v>
      </c>
    </row>
    <row r="25" spans="1:5" x14ac:dyDescent="0.3">
      <c r="A25" s="1">
        <f t="shared" si="0"/>
        <v>46357</v>
      </c>
      <c r="B25" t="s">
        <v>11</v>
      </c>
      <c r="C25" t="s">
        <v>12</v>
      </c>
      <c r="D25">
        <v>100000</v>
      </c>
      <c r="E25" s="2" cm="1">
        <f t="array" ref="E25">ROUND(100000000*INDEX({0.94,0.92,0.9,0.92,0.98,1.1,1.22,1.2,1.08,0.99,0.96,0.94},MONTH(A25)),0)</f>
        <v>94000000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B61A-F625-4C0B-87C3-CF13A7086E52}">
  <dimension ref="A1:H25"/>
  <sheetViews>
    <sheetView workbookViewId="0">
      <selection activeCell="I26" sqref="I26"/>
    </sheetView>
  </sheetViews>
  <sheetFormatPr defaultRowHeight="14.4" x14ac:dyDescent="0.3"/>
  <cols>
    <col min="1" max="1" width="13.33203125" style="1" customWidth="1"/>
    <col min="2" max="2" width="16.21875" customWidth="1"/>
    <col min="3" max="3" width="15.109375" customWidth="1"/>
    <col min="4" max="4" width="12.5546875" customWidth="1"/>
    <col min="5" max="5" width="12.5546875" style="2" bestFit="1" customWidth="1"/>
    <col min="6" max="6" width="13.5546875" bestFit="1" customWidth="1"/>
    <col min="7" max="7" width="14" bestFit="1" customWidth="1"/>
    <col min="8" max="8" width="10.21875" bestFit="1" customWidth="1"/>
  </cols>
  <sheetData>
    <row r="1" spans="1:8" x14ac:dyDescent="0.3">
      <c r="A1" s="1" t="s">
        <v>27</v>
      </c>
      <c r="B1" t="s">
        <v>14</v>
      </c>
      <c r="C1" t="s">
        <v>15</v>
      </c>
      <c r="D1" t="s">
        <v>26</v>
      </c>
      <c r="E1" s="2" t="s">
        <v>23</v>
      </c>
      <c r="F1" t="s">
        <v>29</v>
      </c>
      <c r="G1" t="s">
        <v>28</v>
      </c>
      <c r="H1" t="s">
        <v>24</v>
      </c>
    </row>
    <row r="2" spans="1:8" x14ac:dyDescent="0.3">
      <c r="A2" s="1">
        <v>45658</v>
      </c>
      <c r="B2" t="s">
        <v>11</v>
      </c>
      <c r="C2" t="s">
        <v>12</v>
      </c>
      <c r="D2">
        <v>100000</v>
      </c>
      <c r="E2" s="2" cm="1">
        <f t="array" ref="E2">ROUND(100000000*INDEX({0.94,0.92,0.9,0.92,0.98,1.1,1.22,1.2,1.08,0.99,0.96,0.94},MONTH(A2)),0)</f>
        <v>94000000</v>
      </c>
      <c r="F2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2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2">
        <f>tblRevenueMonthly[[#This Row],[Customers]]*tblRevenueMonthly[[#This Row],[FixedCharge]]+tblRevenueMonthly[[#This Row],[kWh]]*tblRevenueMonthly[[#This Row],[VariableRate]]</f>
        <v>15570000</v>
      </c>
    </row>
    <row r="3" spans="1:8" x14ac:dyDescent="0.3">
      <c r="A3" s="1">
        <f>EDATE(A2,1)</f>
        <v>45689</v>
      </c>
      <c r="B3" t="s">
        <v>11</v>
      </c>
      <c r="C3" t="s">
        <v>12</v>
      </c>
      <c r="D3">
        <v>100000</v>
      </c>
      <c r="E3" s="2" cm="1">
        <f t="array" ref="E3">ROUND(100000000*INDEX({0.94,0.92,0.9,0.92,0.98,1.1,1.22,1.2,1.08,0.99,0.96,0.94},MONTH(A3)),0)</f>
        <v>92000000</v>
      </c>
      <c r="F3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3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3">
        <f>tblRevenueMonthly[[#This Row],[Customers]]*tblRevenueMonthly[[#This Row],[FixedCharge]]+tblRevenueMonthly[[#This Row],[kWh]]*tblRevenueMonthly[[#This Row],[VariableRate]]</f>
        <v>15260000</v>
      </c>
    </row>
    <row r="4" spans="1:8" x14ac:dyDescent="0.3">
      <c r="A4" s="1">
        <f t="shared" ref="A4:A25" si="0">EDATE(A3,1)</f>
        <v>45717</v>
      </c>
      <c r="B4" t="s">
        <v>11</v>
      </c>
      <c r="C4" t="s">
        <v>12</v>
      </c>
      <c r="D4">
        <v>100000</v>
      </c>
      <c r="E4" s="2" cm="1">
        <f t="array" ref="E4">ROUND(100000000*INDEX({0.94,0.92,0.9,0.92,0.98,1.1,1.22,1.2,1.08,0.99,0.96,0.94},MONTH(A4)),0)</f>
        <v>90000000</v>
      </c>
      <c r="F4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4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4">
        <f>tblRevenueMonthly[[#This Row],[Customers]]*tblRevenueMonthly[[#This Row],[FixedCharge]]+tblRevenueMonthly[[#This Row],[kWh]]*tblRevenueMonthly[[#This Row],[VariableRate]]</f>
        <v>14950000</v>
      </c>
    </row>
    <row r="5" spans="1:8" x14ac:dyDescent="0.3">
      <c r="A5" s="1">
        <f t="shared" si="0"/>
        <v>45748</v>
      </c>
      <c r="B5" t="s">
        <v>11</v>
      </c>
      <c r="C5" t="s">
        <v>12</v>
      </c>
      <c r="D5">
        <v>100000</v>
      </c>
      <c r="E5" s="2" cm="1">
        <f t="array" ref="E5">ROUND(100000000*INDEX({0.94,0.92,0.9,0.92,0.98,1.1,1.22,1.2,1.08,0.99,0.96,0.94},MONTH(A5)),0)</f>
        <v>92000000</v>
      </c>
      <c r="F5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5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5">
        <f>tblRevenueMonthly[[#This Row],[Customers]]*tblRevenueMonthly[[#This Row],[FixedCharge]]+tblRevenueMonthly[[#This Row],[kWh]]*tblRevenueMonthly[[#This Row],[VariableRate]]</f>
        <v>15260000</v>
      </c>
    </row>
    <row r="6" spans="1:8" x14ac:dyDescent="0.3">
      <c r="A6" s="1">
        <f t="shared" si="0"/>
        <v>45778</v>
      </c>
      <c r="B6" t="s">
        <v>11</v>
      </c>
      <c r="C6" t="s">
        <v>12</v>
      </c>
      <c r="D6">
        <v>100000</v>
      </c>
      <c r="E6" s="2" cm="1">
        <f t="array" ref="E6">ROUND(100000000*INDEX({0.94,0.92,0.9,0.92,0.98,1.1,1.22,1.2,1.08,0.99,0.96,0.94},MONTH(A6)),0)</f>
        <v>98000000</v>
      </c>
      <c r="F6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6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6">
        <f>tblRevenueMonthly[[#This Row],[Customers]]*tblRevenueMonthly[[#This Row],[FixedCharge]]+tblRevenueMonthly[[#This Row],[kWh]]*tblRevenueMonthly[[#This Row],[VariableRate]]</f>
        <v>16190000</v>
      </c>
    </row>
    <row r="7" spans="1:8" x14ac:dyDescent="0.3">
      <c r="A7" s="1">
        <f t="shared" si="0"/>
        <v>45809</v>
      </c>
      <c r="B7" t="s">
        <v>11</v>
      </c>
      <c r="C7" t="s">
        <v>12</v>
      </c>
      <c r="D7">
        <v>100000</v>
      </c>
      <c r="E7" s="2" cm="1">
        <f t="array" ref="E7">ROUND(100000000*INDEX({0.94,0.92,0.9,0.92,0.98,1.1,1.22,1.2,1.08,0.99,0.96,0.94},MONTH(A7)),0)</f>
        <v>110000000</v>
      </c>
      <c r="F7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7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7">
        <f>tblRevenueMonthly[[#This Row],[Customers]]*tblRevenueMonthly[[#This Row],[FixedCharge]]+tblRevenueMonthly[[#This Row],[kWh]]*tblRevenueMonthly[[#This Row],[VariableRate]]</f>
        <v>18050000</v>
      </c>
    </row>
    <row r="8" spans="1:8" x14ac:dyDescent="0.3">
      <c r="A8" s="1">
        <f t="shared" si="0"/>
        <v>45839</v>
      </c>
      <c r="B8" t="s">
        <v>11</v>
      </c>
      <c r="C8" t="s">
        <v>12</v>
      </c>
      <c r="D8">
        <v>100000</v>
      </c>
      <c r="E8" s="2" cm="1">
        <f t="array" ref="E8">ROUND(100000000*INDEX({0.94,0.92,0.9,0.92,0.98,1.1,1.22,1.2,1.08,0.99,0.96,0.94},MONTH(A8)),0)</f>
        <v>122000000</v>
      </c>
      <c r="F8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8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8">
        <f>tblRevenueMonthly[[#This Row],[Customers]]*tblRevenueMonthly[[#This Row],[FixedCharge]]+tblRevenueMonthly[[#This Row],[kWh]]*tblRevenueMonthly[[#This Row],[VariableRate]]</f>
        <v>19910000</v>
      </c>
    </row>
    <row r="9" spans="1:8" x14ac:dyDescent="0.3">
      <c r="A9" s="1">
        <f t="shared" si="0"/>
        <v>45870</v>
      </c>
      <c r="B9" t="s">
        <v>11</v>
      </c>
      <c r="C9" t="s">
        <v>12</v>
      </c>
      <c r="D9">
        <v>100000</v>
      </c>
      <c r="E9" s="2" cm="1">
        <f t="array" ref="E9">ROUND(100000000*INDEX({0.94,0.92,0.9,0.92,0.98,1.1,1.22,1.2,1.08,0.99,0.96,0.94},MONTH(A9)),0)</f>
        <v>120000000</v>
      </c>
      <c r="F9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9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9">
        <f>tblRevenueMonthly[[#This Row],[Customers]]*tblRevenueMonthly[[#This Row],[FixedCharge]]+tblRevenueMonthly[[#This Row],[kWh]]*tblRevenueMonthly[[#This Row],[VariableRate]]</f>
        <v>19600000</v>
      </c>
    </row>
    <row r="10" spans="1:8" x14ac:dyDescent="0.3">
      <c r="A10" s="1">
        <f t="shared" si="0"/>
        <v>45901</v>
      </c>
      <c r="B10" t="s">
        <v>11</v>
      </c>
      <c r="C10" t="s">
        <v>12</v>
      </c>
      <c r="D10">
        <v>100000</v>
      </c>
      <c r="E10" s="2" cm="1">
        <f t="array" ref="E10">ROUND(100000000*INDEX({0.94,0.92,0.9,0.92,0.98,1.1,1.22,1.2,1.08,0.99,0.96,0.94},MONTH(A10)),0)</f>
        <v>108000000</v>
      </c>
      <c r="F10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10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10">
        <f>tblRevenueMonthly[[#This Row],[Customers]]*tblRevenueMonthly[[#This Row],[FixedCharge]]+tblRevenueMonthly[[#This Row],[kWh]]*tblRevenueMonthly[[#This Row],[VariableRate]]</f>
        <v>17740000</v>
      </c>
    </row>
    <row r="11" spans="1:8" x14ac:dyDescent="0.3">
      <c r="A11" s="1">
        <f t="shared" si="0"/>
        <v>45931</v>
      </c>
      <c r="B11" t="s">
        <v>11</v>
      </c>
      <c r="C11" t="s">
        <v>12</v>
      </c>
      <c r="D11">
        <v>100000</v>
      </c>
      <c r="E11" s="2" cm="1">
        <f t="array" ref="E11">ROUND(100000000*INDEX({0.94,0.92,0.9,0.92,0.98,1.1,1.22,1.2,1.08,0.99,0.96,0.94},MONTH(A11)),0)</f>
        <v>99000000</v>
      </c>
      <c r="F11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11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11">
        <f>tblRevenueMonthly[[#This Row],[Customers]]*tblRevenueMonthly[[#This Row],[FixedCharge]]+tblRevenueMonthly[[#This Row],[kWh]]*tblRevenueMonthly[[#This Row],[VariableRate]]</f>
        <v>16345000</v>
      </c>
    </row>
    <row r="12" spans="1:8" x14ac:dyDescent="0.3">
      <c r="A12" s="1">
        <f t="shared" si="0"/>
        <v>45962</v>
      </c>
      <c r="B12" t="s">
        <v>11</v>
      </c>
      <c r="C12" t="s">
        <v>12</v>
      </c>
      <c r="D12">
        <v>100000</v>
      </c>
      <c r="E12" s="2" cm="1">
        <f t="array" ref="E12">ROUND(100000000*INDEX({0.94,0.92,0.9,0.92,0.98,1.1,1.22,1.2,1.08,0.99,0.96,0.94},MONTH(A12)),0)</f>
        <v>96000000</v>
      </c>
      <c r="F12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12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12">
        <f>tblRevenueMonthly[[#This Row],[Customers]]*tblRevenueMonthly[[#This Row],[FixedCharge]]+tblRevenueMonthly[[#This Row],[kWh]]*tblRevenueMonthly[[#This Row],[VariableRate]]</f>
        <v>15880000</v>
      </c>
    </row>
    <row r="13" spans="1:8" x14ac:dyDescent="0.3">
      <c r="A13" s="1">
        <f t="shared" si="0"/>
        <v>45992</v>
      </c>
      <c r="B13" t="s">
        <v>11</v>
      </c>
      <c r="C13" t="s">
        <v>12</v>
      </c>
      <c r="D13">
        <v>100000</v>
      </c>
      <c r="E13" s="2" cm="1">
        <f t="array" ref="E13">ROUND(100000000*INDEX({0.94,0.92,0.9,0.92,0.98,1.1,1.22,1.2,1.08,0.99,0.96,0.94},MONTH(A13)),0)</f>
        <v>94000000</v>
      </c>
      <c r="F13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10</v>
      </c>
      <c r="G13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0.155</v>
      </c>
      <c r="H13">
        <f>tblRevenueMonthly[[#This Row],[Customers]]*tblRevenueMonthly[[#This Row],[FixedCharge]]+tblRevenueMonthly[[#This Row],[kWh]]*tblRevenueMonthly[[#This Row],[VariableRate]]</f>
        <v>15570000</v>
      </c>
    </row>
    <row r="14" spans="1:8" x14ac:dyDescent="0.3">
      <c r="A14" s="1">
        <f t="shared" si="0"/>
        <v>46023</v>
      </c>
      <c r="B14" t="s">
        <v>11</v>
      </c>
      <c r="C14" t="s">
        <v>12</v>
      </c>
      <c r="D14">
        <v>100000</v>
      </c>
      <c r="E14" s="2" cm="1">
        <f t="array" ref="E14">ROUND(100000000*INDEX({0.94,0.92,0.9,0.92,0.98,1.1,1.22,1.2,1.08,0.99,0.96,0.94},MONTH(A14)),0)</f>
        <v>94000000</v>
      </c>
      <c r="F14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4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4">
        <f>tblRevenueMonthly[[#This Row],[Customers]]*tblRevenueMonthly[[#This Row],[FixedCharge]]+tblRevenueMonthly[[#This Row],[kWh]]*tblRevenueMonthly[[#This Row],[VariableRate]]</f>
        <v>16146000</v>
      </c>
    </row>
    <row r="15" spans="1:8" x14ac:dyDescent="0.3">
      <c r="A15" s="1">
        <f t="shared" si="0"/>
        <v>46054</v>
      </c>
      <c r="B15" t="s">
        <v>11</v>
      </c>
      <c r="C15" t="s">
        <v>12</v>
      </c>
      <c r="D15">
        <v>100000</v>
      </c>
      <c r="E15" s="2" cm="1">
        <f t="array" ref="E15">ROUND(100000000*INDEX({0.94,0.92,0.9,0.92,0.98,1.1,1.22,1.2,1.08,0.99,0.96,0.94},MONTH(A15)),0)</f>
        <v>92000000</v>
      </c>
      <c r="F15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5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5">
        <f>tblRevenueMonthly[[#This Row],[Customers]]*tblRevenueMonthly[[#This Row],[FixedCharge]]+tblRevenueMonthly[[#This Row],[kWh]]*tblRevenueMonthly[[#This Row],[VariableRate]]</f>
        <v>15828000</v>
      </c>
    </row>
    <row r="16" spans="1:8" x14ac:dyDescent="0.3">
      <c r="A16" s="1">
        <f t="shared" si="0"/>
        <v>46082</v>
      </c>
      <c r="B16" t="s">
        <v>11</v>
      </c>
      <c r="C16" t="s">
        <v>12</v>
      </c>
      <c r="D16">
        <v>100000</v>
      </c>
      <c r="E16" s="2" cm="1">
        <f t="array" ref="E16">ROUND(100000000*INDEX({0.94,0.92,0.9,0.92,0.98,1.1,1.22,1.2,1.08,0.99,0.96,0.94},MONTH(A16)),0)</f>
        <v>90000000</v>
      </c>
      <c r="F16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6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6">
        <f>tblRevenueMonthly[[#This Row],[Customers]]*tblRevenueMonthly[[#This Row],[FixedCharge]]+tblRevenueMonthly[[#This Row],[kWh]]*tblRevenueMonthly[[#This Row],[VariableRate]]</f>
        <v>15510000</v>
      </c>
    </row>
    <row r="17" spans="1:8" x14ac:dyDescent="0.3">
      <c r="A17" s="1">
        <f t="shared" si="0"/>
        <v>46113</v>
      </c>
      <c r="B17" t="s">
        <v>11</v>
      </c>
      <c r="C17" t="s">
        <v>12</v>
      </c>
      <c r="D17">
        <v>100000</v>
      </c>
      <c r="E17" s="2" cm="1">
        <f t="array" ref="E17">ROUND(100000000*INDEX({0.94,0.92,0.9,0.92,0.98,1.1,1.22,1.2,1.08,0.99,0.96,0.94},MONTH(A17)),0)</f>
        <v>92000000</v>
      </c>
      <c r="F17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7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7">
        <f>tblRevenueMonthly[[#This Row],[Customers]]*tblRevenueMonthly[[#This Row],[FixedCharge]]+tblRevenueMonthly[[#This Row],[kWh]]*tblRevenueMonthly[[#This Row],[VariableRate]]</f>
        <v>15828000</v>
      </c>
    </row>
    <row r="18" spans="1:8" x14ac:dyDescent="0.3">
      <c r="A18" s="1">
        <f t="shared" si="0"/>
        <v>46143</v>
      </c>
      <c r="B18" t="s">
        <v>11</v>
      </c>
      <c r="C18" t="s">
        <v>12</v>
      </c>
      <c r="D18">
        <v>100000</v>
      </c>
      <c r="E18" s="2" cm="1">
        <f t="array" ref="E18">ROUND(100000000*INDEX({0.94,0.92,0.9,0.92,0.98,1.1,1.22,1.2,1.08,0.99,0.96,0.94},MONTH(A18)),0)</f>
        <v>98000000</v>
      </c>
      <c r="F18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8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8">
        <f>tblRevenueMonthly[[#This Row],[Customers]]*tblRevenueMonthly[[#This Row],[FixedCharge]]+tblRevenueMonthly[[#This Row],[kWh]]*tblRevenueMonthly[[#This Row],[VariableRate]]</f>
        <v>16782000</v>
      </c>
    </row>
    <row r="19" spans="1:8" x14ac:dyDescent="0.3">
      <c r="A19" s="1">
        <f t="shared" si="0"/>
        <v>46174</v>
      </c>
      <c r="B19" t="s">
        <v>11</v>
      </c>
      <c r="C19" t="s">
        <v>12</v>
      </c>
      <c r="D19">
        <v>100000</v>
      </c>
      <c r="E19" s="2" cm="1">
        <f t="array" ref="E19">ROUND(100000000*INDEX({0.94,0.92,0.9,0.92,0.98,1.1,1.22,1.2,1.08,0.99,0.96,0.94},MONTH(A19)),0)</f>
        <v>110000000</v>
      </c>
      <c r="F19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19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19">
        <f>tblRevenueMonthly[[#This Row],[Customers]]*tblRevenueMonthly[[#This Row],[FixedCharge]]+tblRevenueMonthly[[#This Row],[kWh]]*tblRevenueMonthly[[#This Row],[VariableRate]]</f>
        <v>18690000</v>
      </c>
    </row>
    <row r="20" spans="1:8" x14ac:dyDescent="0.3">
      <c r="A20" s="1">
        <f t="shared" si="0"/>
        <v>46204</v>
      </c>
      <c r="B20" t="s">
        <v>11</v>
      </c>
      <c r="C20" t="s">
        <v>12</v>
      </c>
      <c r="D20">
        <v>100000</v>
      </c>
      <c r="E20" s="2" cm="1">
        <f t="array" ref="E20">ROUND(100000000*INDEX({0.94,0.92,0.9,0.92,0.98,1.1,1.22,1.2,1.08,0.99,0.96,0.94},MONTH(A20)),0)</f>
        <v>122000000</v>
      </c>
      <c r="F20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0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0">
        <f>tblRevenueMonthly[[#This Row],[Customers]]*tblRevenueMonthly[[#This Row],[FixedCharge]]+tblRevenueMonthly[[#This Row],[kWh]]*tblRevenueMonthly[[#This Row],[VariableRate]]</f>
        <v>20598000</v>
      </c>
    </row>
    <row r="21" spans="1:8" x14ac:dyDescent="0.3">
      <c r="A21" s="1">
        <f t="shared" si="0"/>
        <v>46235</v>
      </c>
      <c r="B21" t="s">
        <v>11</v>
      </c>
      <c r="C21" t="s">
        <v>12</v>
      </c>
      <c r="D21">
        <v>100000</v>
      </c>
      <c r="E21" s="2" cm="1">
        <f t="array" ref="E21">ROUND(100000000*INDEX({0.94,0.92,0.9,0.92,0.98,1.1,1.22,1.2,1.08,0.99,0.96,0.94},MONTH(A21)),0)</f>
        <v>120000000</v>
      </c>
      <c r="F21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1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1">
        <f>tblRevenueMonthly[[#This Row],[Customers]]*tblRevenueMonthly[[#This Row],[FixedCharge]]+tblRevenueMonthly[[#This Row],[kWh]]*tblRevenueMonthly[[#This Row],[VariableRate]]</f>
        <v>20280000</v>
      </c>
    </row>
    <row r="22" spans="1:8" x14ac:dyDescent="0.3">
      <c r="A22" s="1">
        <f t="shared" si="0"/>
        <v>46266</v>
      </c>
      <c r="B22" t="s">
        <v>11</v>
      </c>
      <c r="C22" t="s">
        <v>12</v>
      </c>
      <c r="D22">
        <v>100000</v>
      </c>
      <c r="E22" s="2" cm="1">
        <f t="array" ref="E22">ROUND(100000000*INDEX({0.94,0.92,0.9,0.92,0.98,1.1,1.22,1.2,1.08,0.99,0.96,0.94},MONTH(A22)),0)</f>
        <v>108000000</v>
      </c>
      <c r="F22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2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2">
        <f>tblRevenueMonthly[[#This Row],[Customers]]*tblRevenueMonthly[[#This Row],[FixedCharge]]+tblRevenueMonthly[[#This Row],[kWh]]*tblRevenueMonthly[[#This Row],[VariableRate]]</f>
        <v>18372000</v>
      </c>
    </row>
    <row r="23" spans="1:8" x14ac:dyDescent="0.3">
      <c r="A23" s="1">
        <f t="shared" si="0"/>
        <v>46296</v>
      </c>
      <c r="B23" t="s">
        <v>11</v>
      </c>
      <c r="C23" t="s">
        <v>12</v>
      </c>
      <c r="D23">
        <v>100000</v>
      </c>
      <c r="E23" s="2" cm="1">
        <f t="array" ref="E23">ROUND(100000000*INDEX({0.94,0.92,0.9,0.92,0.98,1.1,1.22,1.2,1.08,0.99,0.96,0.94},MONTH(A23)),0)</f>
        <v>99000000</v>
      </c>
      <c r="F23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3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3">
        <f>tblRevenueMonthly[[#This Row],[Customers]]*tblRevenueMonthly[[#This Row],[FixedCharge]]+tblRevenueMonthly[[#This Row],[kWh]]*tblRevenueMonthly[[#This Row],[VariableRate]]</f>
        <v>16941000</v>
      </c>
    </row>
    <row r="24" spans="1:8" x14ac:dyDescent="0.3">
      <c r="A24" s="1">
        <f t="shared" si="0"/>
        <v>46327</v>
      </c>
      <c r="B24" t="s">
        <v>11</v>
      </c>
      <c r="C24" t="s">
        <v>12</v>
      </c>
      <c r="D24">
        <v>100000</v>
      </c>
      <c r="E24" s="2" cm="1">
        <f t="array" ref="E24">ROUND(100000000*INDEX({0.94,0.92,0.9,0.92,0.98,1.1,1.22,1.2,1.08,0.99,0.96,0.94},MONTH(A24)),0)</f>
        <v>96000000</v>
      </c>
      <c r="F24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4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4">
        <f>tblRevenueMonthly[[#This Row],[Customers]]*tblRevenueMonthly[[#This Row],[FixedCharge]]+tblRevenueMonthly[[#This Row],[kWh]]*tblRevenueMonthly[[#This Row],[VariableRate]]</f>
        <v>16464000</v>
      </c>
    </row>
    <row r="25" spans="1:8" x14ac:dyDescent="0.3">
      <c r="A25" s="1">
        <f t="shared" si="0"/>
        <v>46357</v>
      </c>
      <c r="B25" t="s">
        <v>11</v>
      </c>
      <c r="C25" t="s">
        <v>12</v>
      </c>
      <c r="D25">
        <v>100000</v>
      </c>
      <c r="E25" s="2" cm="1">
        <f t="array" ref="E25">ROUND(100000000*INDEX({0.94,0.92,0.9,0.92,0.98,1.1,1.22,1.2,1.08,0.99,0.96,0.94},MONTH(A25)),0)</f>
        <v>94000000</v>
      </c>
      <c r="F25">
        <f>SUMIFS(tblRateComponents[Value],tblRateComponents[CustomerClass],tblRevenueMonthly[[#This Row],[CustomerClass]],tblRateComponents[RateSchedule],tblRevenueMonthly[[#This Row],[RateSchedule]],tblRateComponents[ComponentType],"Fixed",tblRateComponents[EffectiveStart],"&lt;="&amp;tblRevenueMonthly[[#This Row],[UsageMonth]],tblRateComponents[EffectiveEnd],"&gt;="&amp;tblRevenueMonthly[[#This Row],[UsageMonth]])</f>
        <v>12</v>
      </c>
      <c r="G25">
        <f>SUMIFS(tblRateComponents[Value],tblRateComponents[CustomerClass],tblRevenueMonthly[[#This Row],[CustomerClass]],tblRateComponents[RateSchedule],tblRevenueMonthly[[#This Row],[RateSchedule]],tblRateComponents[ComponentType],"Variable",tblRateComponents[EffectiveStart],"&lt;="&amp;tblRevenueMonthly[[#This Row],[UsageMonth]],tblRateComponents[EffectiveEnd],"&gt;="&amp;tblRevenueMonthly[[#This Row],[UsageMonth]])</f>
        <v>0.159</v>
      </c>
      <c r="H25">
        <f>tblRevenueMonthly[[#This Row],[Customers]]*tblRevenueMonthly[[#This Row],[FixedCharge]]+tblRevenueMonthly[[#This Row],[kWh]]*tblRevenueMonthly[[#This Row],[VariableRate]]</f>
        <v>16146000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C7ED-BDCA-4F05-B814-3E4EF1D94518}">
  <dimension ref="A1:Q25"/>
  <sheetViews>
    <sheetView topLeftCell="B1" zoomScale="90" zoomScaleNormal="90" workbookViewId="0">
      <selection activeCell="O29" sqref="O29"/>
    </sheetView>
  </sheetViews>
  <sheetFormatPr defaultRowHeight="14.4" x14ac:dyDescent="0.3"/>
  <cols>
    <col min="1" max="1" width="14.44140625" bestFit="1" customWidth="1"/>
    <col min="2" max="2" width="17.44140625" bestFit="1" customWidth="1"/>
    <col min="3" max="3" width="15.77734375" bestFit="1" customWidth="1"/>
    <col min="4" max="4" width="13.33203125" bestFit="1" customWidth="1"/>
    <col min="5" max="5" width="11.33203125" bestFit="1" customWidth="1"/>
    <col min="6" max="6" width="14.5546875" bestFit="1" customWidth="1"/>
    <col min="7" max="7" width="14.6640625" bestFit="1" customWidth="1"/>
    <col min="8" max="8" width="14.109375" bestFit="1" customWidth="1"/>
    <col min="9" max="9" width="15.5546875" bestFit="1" customWidth="1"/>
    <col min="10" max="10" width="18.109375" bestFit="1" customWidth="1"/>
    <col min="11" max="11" width="11.5546875" bestFit="1" customWidth="1"/>
    <col min="12" max="12" width="11.21875" bestFit="1" customWidth="1"/>
    <col min="13" max="13" width="15.44140625" bestFit="1" customWidth="1"/>
    <col min="14" max="14" width="12.5546875" bestFit="1" customWidth="1"/>
    <col min="15" max="15" width="18.88671875" style="2" bestFit="1" customWidth="1"/>
    <col min="16" max="16" width="19.77734375" style="2" bestFit="1" customWidth="1"/>
    <col min="17" max="17" width="11.21875" style="2" bestFit="1" customWidth="1"/>
  </cols>
  <sheetData>
    <row r="1" spans="1:17" x14ac:dyDescent="0.3">
      <c r="A1" s="1" t="s">
        <v>27</v>
      </c>
      <c r="B1" t="s">
        <v>14</v>
      </c>
      <c r="C1" t="s">
        <v>15</v>
      </c>
      <c r="D1" t="s">
        <v>26</v>
      </c>
      <c r="E1" s="2" t="s">
        <v>23</v>
      </c>
      <c r="F1" t="s">
        <v>29</v>
      </c>
      <c r="G1" t="s">
        <v>28</v>
      </c>
      <c r="H1" t="s">
        <v>24</v>
      </c>
      <c r="I1" t="s">
        <v>30</v>
      </c>
      <c r="J1" t="s">
        <v>32</v>
      </c>
      <c r="K1" t="s">
        <v>36</v>
      </c>
      <c r="L1" t="s">
        <v>37</v>
      </c>
      <c r="M1" t="s">
        <v>33</v>
      </c>
      <c r="N1" t="s">
        <v>38</v>
      </c>
      <c r="O1" s="2" t="s">
        <v>31</v>
      </c>
      <c r="P1" s="2" t="s">
        <v>34</v>
      </c>
      <c r="Q1" s="2" t="s">
        <v>35</v>
      </c>
    </row>
    <row r="2" spans="1:17" x14ac:dyDescent="0.3">
      <c r="A2" s="1">
        <v>45658</v>
      </c>
      <c r="B2" t="s">
        <v>11</v>
      </c>
      <c r="C2" t="s">
        <v>12</v>
      </c>
      <c r="D2">
        <v>100000</v>
      </c>
      <c r="E2" s="2" cm="1">
        <f t="array" ref="E2">ROUND(100000000*INDEX({0.94,0.92,0.9,0.92,0.98,1.1,1.22,1.2,1.08,0.99,0.96,0.94},MONTH(A2)),0)</f>
        <v>94000000</v>
      </c>
      <c r="F2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2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2">
        <f>tblRevenueMonthly6[[#This Row],[Customers]]*tblRevenueMonthly6[[#This Row],[FixedCharge]]+tblRevenueMonthly6[[#This Row],[kWh]]*tblRevenueMonthly6[[#This Row],[VariableRate]]</f>
        <v>15570000</v>
      </c>
      <c r="I2" s="3">
        <f>IFERROR(_xlfn.XLOOKUP(EDATE(tblRevenueMonthly6[[#This Row],[UsageMonth]],-1),tblRevenueMonthly[UsageMonth],tblRevenueMonthly[Revenue],0),0)</f>
        <v>0</v>
      </c>
      <c r="J2" s="3">
        <f>IF(tblRevenueMonthly6[[#This Row],[PriorRevenue]]=0,0,tblRevenueMonthly6[[#This Row],[Revenue]]-tblRevenueMonthly6[[#This Row],[PriorRevenue]])</f>
        <v>0</v>
      </c>
      <c r="K2" s="3">
        <f>IFERROR(_xlfn.XLOOKUP(EDATE(tblRevenueMonthly6[[#This Row],[UsageMonth]],-1),tblRevenueMonthly[UsageMonth],tblRevenueMonthly[kWh],0),0)</f>
        <v>0</v>
      </c>
      <c r="L2" s="3">
        <f>IFERROR(_xlfn.XLOOKUP(EDATE(tblRevenueMonthly6[[#This Row],[UsageMonth]],-1),tblRevenueMonthly[UsageMonth],tblRevenueMonthly[VariableRate],0),0)</f>
        <v>0</v>
      </c>
      <c r="M2" s="3">
        <f>IF(tblRevenueMonthly6[[#This Row],[PriorRevenue]]=0,0,(tblRevenueMonthly6[[#This Row],[kWh]]-tblRevenueMonthly6[[#This Row],[PriorkWh]])*tblRevenueMonthly6[[#This Row],[Priorrate]])</f>
        <v>0</v>
      </c>
      <c r="N2" s="3">
        <f>IF(tblRevenueMonthly6[[#This Row],[PriorRevenue]]=0,0,tblRevenueMonthly6[[#This Row],[kWh]]*(tblRevenueMonthly6[[#This Row],[VariableRate]]-tblRevenueMonthly6[[#This Row],[Priorrate]]))</f>
        <v>0</v>
      </c>
      <c r="O2" s="2">
        <f>IF(tblRevenueMonthly6[[#This Row],[PriorRevenue]]=0,0,_xlfn.XLOOKUP(EDATE(tblRevenueMonthly6[[#This Row],[UsageMonth]],-1),tblRevenueMonthly[UsageMonth],tblRevenueMonthly[FixedCharge],0))</f>
        <v>0</v>
      </c>
      <c r="P2" s="2">
        <f>IF(tblRevenueMonthly6[[#This Row],[PriorRevenue]]=0,0,tblRevenueMonthly6[[#This Row],[Customers]]*(tblRevenueMonthly6[[#This Row],[FixedCharge]]-tblRevenueMonthly6[[#This Row],[PriorFixedCharge]]))</f>
        <v>0</v>
      </c>
      <c r="Q2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3" spans="1:17" x14ac:dyDescent="0.3">
      <c r="A3" s="1">
        <f>EDATE(A2,1)</f>
        <v>45689</v>
      </c>
      <c r="B3" t="s">
        <v>11</v>
      </c>
      <c r="C3" t="s">
        <v>12</v>
      </c>
      <c r="D3">
        <v>100000</v>
      </c>
      <c r="E3" s="2" cm="1">
        <f t="array" ref="E3">ROUND(100000000*INDEX({0.94,0.92,0.9,0.92,0.98,1.1,1.22,1.2,1.08,0.99,0.96,0.94},MONTH(A3)),0)</f>
        <v>92000000</v>
      </c>
      <c r="F3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3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3">
        <f>tblRevenueMonthly6[[#This Row],[Customers]]*tblRevenueMonthly6[[#This Row],[FixedCharge]]+tblRevenueMonthly6[[#This Row],[kWh]]*tblRevenueMonthly6[[#This Row],[VariableRate]]</f>
        <v>15260000</v>
      </c>
      <c r="I3" s="3">
        <f>IFERROR(_xlfn.XLOOKUP(EDATE(tblRevenueMonthly6[[#This Row],[UsageMonth]],-1),tblRevenueMonthly[UsageMonth],tblRevenueMonthly[Revenue],0),0)</f>
        <v>15570000</v>
      </c>
      <c r="J3" s="3">
        <f>IF(tblRevenueMonthly6[[#This Row],[PriorRevenue]]=0,0,tblRevenueMonthly6[[#This Row],[Revenue]]-tblRevenueMonthly6[[#This Row],[PriorRevenue]])</f>
        <v>-310000</v>
      </c>
      <c r="K3" s="3">
        <f>IFERROR(_xlfn.XLOOKUP(EDATE(tblRevenueMonthly6[[#This Row],[UsageMonth]],-1),tblRevenueMonthly[UsageMonth],tblRevenueMonthly[kWh],0),0)</f>
        <v>94000000</v>
      </c>
      <c r="L3" s="3">
        <f>IFERROR(_xlfn.XLOOKUP(EDATE(tblRevenueMonthly6[[#This Row],[UsageMonth]],-1),tblRevenueMonthly[UsageMonth],tblRevenueMonthly[VariableRate],0),0)</f>
        <v>0.155</v>
      </c>
      <c r="M3" s="3">
        <f>IF(tblRevenueMonthly6[[#This Row],[PriorRevenue]]=0,0,(tblRevenueMonthly6[[#This Row],[kWh]]-tblRevenueMonthly6[[#This Row],[PriorkWh]])*tblRevenueMonthly6[[#This Row],[Priorrate]])</f>
        <v>-310000</v>
      </c>
      <c r="N3" s="3">
        <f>IF(tblRevenueMonthly6[[#This Row],[PriorRevenue]]=0,0,tblRevenueMonthly6[[#This Row],[kWh]]*(tblRevenueMonthly6[[#This Row],[VariableRate]]-tblRevenueMonthly6[[#This Row],[Priorrate]]))</f>
        <v>0</v>
      </c>
      <c r="O3" s="2">
        <f>IF(tblRevenueMonthly6[[#This Row],[PriorRevenue]]=0,0,_xlfn.XLOOKUP(EDATE(tblRevenueMonthly6[[#This Row],[UsageMonth]],-1),tblRevenueMonthly[UsageMonth],tblRevenueMonthly[FixedCharge],0))</f>
        <v>10</v>
      </c>
      <c r="P3" s="2">
        <f>IF(tblRevenueMonthly6[[#This Row],[PriorRevenue]]=0,0,tblRevenueMonthly6[[#This Row],[Customers]]*(tblRevenueMonthly6[[#This Row],[FixedCharge]]-tblRevenueMonthly6[[#This Row],[PriorFixedCharge]]))</f>
        <v>0</v>
      </c>
      <c r="Q3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4" spans="1:17" x14ac:dyDescent="0.3">
      <c r="A4" s="1">
        <f t="shared" ref="A4:A25" si="0">EDATE(A3,1)</f>
        <v>45717</v>
      </c>
      <c r="B4" t="s">
        <v>11</v>
      </c>
      <c r="C4" t="s">
        <v>12</v>
      </c>
      <c r="D4">
        <v>100000</v>
      </c>
      <c r="E4" s="2" cm="1">
        <f t="array" ref="E4">ROUND(100000000*INDEX({0.94,0.92,0.9,0.92,0.98,1.1,1.22,1.2,1.08,0.99,0.96,0.94},MONTH(A4)),0)</f>
        <v>90000000</v>
      </c>
      <c r="F4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4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4">
        <f>tblRevenueMonthly6[[#This Row],[Customers]]*tblRevenueMonthly6[[#This Row],[FixedCharge]]+tblRevenueMonthly6[[#This Row],[kWh]]*tblRevenueMonthly6[[#This Row],[VariableRate]]</f>
        <v>14950000</v>
      </c>
      <c r="I4" s="3">
        <f>IFERROR(_xlfn.XLOOKUP(EDATE(tblRevenueMonthly6[[#This Row],[UsageMonth]],-1),tblRevenueMonthly[UsageMonth],tblRevenueMonthly[Revenue],0),0)</f>
        <v>15260000</v>
      </c>
      <c r="J4" s="3">
        <f>IF(tblRevenueMonthly6[[#This Row],[PriorRevenue]]=0,0,tblRevenueMonthly6[[#This Row],[Revenue]]-tblRevenueMonthly6[[#This Row],[PriorRevenue]])</f>
        <v>-310000</v>
      </c>
      <c r="K4" s="3">
        <f>IFERROR(_xlfn.XLOOKUP(EDATE(tblRevenueMonthly6[[#This Row],[UsageMonth]],-1),tblRevenueMonthly[UsageMonth],tblRevenueMonthly[kWh],0),0)</f>
        <v>92000000</v>
      </c>
      <c r="L4" s="3">
        <f>IFERROR(_xlfn.XLOOKUP(EDATE(tblRevenueMonthly6[[#This Row],[UsageMonth]],-1),tblRevenueMonthly[UsageMonth],tblRevenueMonthly[VariableRate],0),0)</f>
        <v>0.155</v>
      </c>
      <c r="M4" s="3">
        <f>IF(tblRevenueMonthly6[[#This Row],[PriorRevenue]]=0,0,(tblRevenueMonthly6[[#This Row],[kWh]]-tblRevenueMonthly6[[#This Row],[PriorkWh]])*tblRevenueMonthly6[[#This Row],[Priorrate]])</f>
        <v>-310000</v>
      </c>
      <c r="N4" s="3">
        <f>IF(tblRevenueMonthly6[[#This Row],[PriorRevenue]]=0,0,tblRevenueMonthly6[[#This Row],[kWh]]*(tblRevenueMonthly6[[#This Row],[VariableRate]]-tblRevenueMonthly6[[#This Row],[Priorrate]]))</f>
        <v>0</v>
      </c>
      <c r="O4" s="2">
        <f>IF(tblRevenueMonthly6[[#This Row],[PriorRevenue]]=0,0,_xlfn.XLOOKUP(EDATE(tblRevenueMonthly6[[#This Row],[UsageMonth]],-1),tblRevenueMonthly[UsageMonth],tblRevenueMonthly[FixedCharge],0))</f>
        <v>10</v>
      </c>
      <c r="P4" s="2">
        <f>IF(tblRevenueMonthly6[[#This Row],[PriorRevenue]]=0,0,tblRevenueMonthly6[[#This Row],[Customers]]*(tblRevenueMonthly6[[#This Row],[FixedCharge]]-tblRevenueMonthly6[[#This Row],[PriorFixedCharge]]))</f>
        <v>0</v>
      </c>
      <c r="Q4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5" spans="1:17" x14ac:dyDescent="0.3">
      <c r="A5" s="1">
        <f t="shared" si="0"/>
        <v>45748</v>
      </c>
      <c r="B5" t="s">
        <v>11</v>
      </c>
      <c r="C5" t="s">
        <v>12</v>
      </c>
      <c r="D5">
        <v>100000</v>
      </c>
      <c r="E5" s="2" cm="1">
        <f t="array" ref="E5">ROUND(100000000*INDEX({0.94,0.92,0.9,0.92,0.98,1.1,1.22,1.2,1.08,0.99,0.96,0.94},MONTH(A5)),0)</f>
        <v>92000000</v>
      </c>
      <c r="F5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5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5">
        <f>tblRevenueMonthly6[[#This Row],[Customers]]*tblRevenueMonthly6[[#This Row],[FixedCharge]]+tblRevenueMonthly6[[#This Row],[kWh]]*tblRevenueMonthly6[[#This Row],[VariableRate]]</f>
        <v>15260000</v>
      </c>
      <c r="I5" s="3">
        <f>IFERROR(_xlfn.XLOOKUP(EDATE(tblRevenueMonthly6[[#This Row],[UsageMonth]],-1),tblRevenueMonthly[UsageMonth],tblRevenueMonthly[Revenue],0),0)</f>
        <v>14950000</v>
      </c>
      <c r="J5" s="3">
        <f>IF(tblRevenueMonthly6[[#This Row],[PriorRevenue]]=0,0,tblRevenueMonthly6[[#This Row],[Revenue]]-tblRevenueMonthly6[[#This Row],[PriorRevenue]])</f>
        <v>310000</v>
      </c>
      <c r="K5" s="3">
        <f>IFERROR(_xlfn.XLOOKUP(EDATE(tblRevenueMonthly6[[#This Row],[UsageMonth]],-1),tblRevenueMonthly[UsageMonth],tblRevenueMonthly[kWh],0),0)</f>
        <v>90000000</v>
      </c>
      <c r="L5" s="3">
        <f>IFERROR(_xlfn.XLOOKUP(EDATE(tblRevenueMonthly6[[#This Row],[UsageMonth]],-1),tblRevenueMonthly[UsageMonth],tblRevenueMonthly[VariableRate],0),0)</f>
        <v>0.155</v>
      </c>
      <c r="M5" s="3">
        <f>IF(tblRevenueMonthly6[[#This Row],[PriorRevenue]]=0,0,(tblRevenueMonthly6[[#This Row],[kWh]]-tblRevenueMonthly6[[#This Row],[PriorkWh]])*tblRevenueMonthly6[[#This Row],[Priorrate]])</f>
        <v>310000</v>
      </c>
      <c r="N5" s="3">
        <f>IF(tblRevenueMonthly6[[#This Row],[PriorRevenue]]=0,0,tblRevenueMonthly6[[#This Row],[kWh]]*(tblRevenueMonthly6[[#This Row],[VariableRate]]-tblRevenueMonthly6[[#This Row],[Priorrate]]))</f>
        <v>0</v>
      </c>
      <c r="O5" s="2">
        <f>IF(tblRevenueMonthly6[[#This Row],[PriorRevenue]]=0,0,_xlfn.XLOOKUP(EDATE(tblRevenueMonthly6[[#This Row],[UsageMonth]],-1),tblRevenueMonthly[UsageMonth],tblRevenueMonthly[FixedCharge],0))</f>
        <v>10</v>
      </c>
      <c r="P5" s="2">
        <f>IF(tblRevenueMonthly6[[#This Row],[PriorRevenue]]=0,0,tblRevenueMonthly6[[#This Row],[Customers]]*(tblRevenueMonthly6[[#This Row],[FixedCharge]]-tblRevenueMonthly6[[#This Row],[PriorFixedCharge]]))</f>
        <v>0</v>
      </c>
      <c r="Q5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6" spans="1:17" x14ac:dyDescent="0.3">
      <c r="A6" s="1">
        <f t="shared" si="0"/>
        <v>45778</v>
      </c>
      <c r="B6" t="s">
        <v>11</v>
      </c>
      <c r="C6" t="s">
        <v>12</v>
      </c>
      <c r="D6">
        <v>100000</v>
      </c>
      <c r="E6" s="2" cm="1">
        <f t="array" ref="E6">ROUND(100000000*INDEX({0.94,0.92,0.9,0.92,0.98,1.1,1.22,1.2,1.08,0.99,0.96,0.94},MONTH(A6)),0)</f>
        <v>98000000</v>
      </c>
      <c r="F6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6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6">
        <f>tblRevenueMonthly6[[#This Row],[Customers]]*tblRevenueMonthly6[[#This Row],[FixedCharge]]+tblRevenueMonthly6[[#This Row],[kWh]]*tblRevenueMonthly6[[#This Row],[VariableRate]]</f>
        <v>16190000</v>
      </c>
      <c r="I6" s="3">
        <f>IFERROR(_xlfn.XLOOKUP(EDATE(tblRevenueMonthly6[[#This Row],[UsageMonth]],-1),tblRevenueMonthly[UsageMonth],tblRevenueMonthly[Revenue],0),0)</f>
        <v>15260000</v>
      </c>
      <c r="J6" s="3">
        <f>IF(tblRevenueMonthly6[[#This Row],[PriorRevenue]]=0,0,tblRevenueMonthly6[[#This Row],[Revenue]]-tblRevenueMonthly6[[#This Row],[PriorRevenue]])</f>
        <v>930000</v>
      </c>
      <c r="K6" s="3">
        <f>IFERROR(_xlfn.XLOOKUP(EDATE(tblRevenueMonthly6[[#This Row],[UsageMonth]],-1),tblRevenueMonthly[UsageMonth],tblRevenueMonthly[kWh],0),0)</f>
        <v>92000000</v>
      </c>
      <c r="L6" s="3">
        <f>IFERROR(_xlfn.XLOOKUP(EDATE(tblRevenueMonthly6[[#This Row],[UsageMonth]],-1),tblRevenueMonthly[UsageMonth],tblRevenueMonthly[VariableRate],0),0)</f>
        <v>0.155</v>
      </c>
      <c r="M6" s="3">
        <f>IF(tblRevenueMonthly6[[#This Row],[PriorRevenue]]=0,0,(tblRevenueMonthly6[[#This Row],[kWh]]-tblRevenueMonthly6[[#This Row],[PriorkWh]])*tblRevenueMonthly6[[#This Row],[Priorrate]])</f>
        <v>930000</v>
      </c>
      <c r="N6" s="3">
        <f>IF(tblRevenueMonthly6[[#This Row],[PriorRevenue]]=0,0,tblRevenueMonthly6[[#This Row],[kWh]]*(tblRevenueMonthly6[[#This Row],[VariableRate]]-tblRevenueMonthly6[[#This Row],[Priorrate]]))</f>
        <v>0</v>
      </c>
      <c r="O6" s="2">
        <f>IF(tblRevenueMonthly6[[#This Row],[PriorRevenue]]=0,0,_xlfn.XLOOKUP(EDATE(tblRevenueMonthly6[[#This Row],[UsageMonth]],-1),tblRevenueMonthly[UsageMonth],tblRevenueMonthly[FixedCharge],0))</f>
        <v>10</v>
      </c>
      <c r="P6" s="2">
        <f>IF(tblRevenueMonthly6[[#This Row],[PriorRevenue]]=0,0,tblRevenueMonthly6[[#This Row],[Customers]]*(tblRevenueMonthly6[[#This Row],[FixedCharge]]-tblRevenueMonthly6[[#This Row],[PriorFixedCharge]]))</f>
        <v>0</v>
      </c>
      <c r="Q6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7" spans="1:17" x14ac:dyDescent="0.3">
      <c r="A7" s="1">
        <f t="shared" si="0"/>
        <v>45809</v>
      </c>
      <c r="B7" t="s">
        <v>11</v>
      </c>
      <c r="C7" t="s">
        <v>12</v>
      </c>
      <c r="D7">
        <v>100000</v>
      </c>
      <c r="E7" s="2" cm="1">
        <f t="array" ref="E7">ROUND(100000000*INDEX({0.94,0.92,0.9,0.92,0.98,1.1,1.22,1.2,1.08,0.99,0.96,0.94},MONTH(A7)),0)</f>
        <v>110000000</v>
      </c>
      <c r="F7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7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7">
        <f>tblRevenueMonthly6[[#This Row],[Customers]]*tblRevenueMonthly6[[#This Row],[FixedCharge]]+tblRevenueMonthly6[[#This Row],[kWh]]*tblRevenueMonthly6[[#This Row],[VariableRate]]</f>
        <v>18050000</v>
      </c>
      <c r="I7" s="3">
        <f>IFERROR(_xlfn.XLOOKUP(EDATE(tblRevenueMonthly6[[#This Row],[UsageMonth]],-1),tblRevenueMonthly[UsageMonth],tblRevenueMonthly[Revenue],0),0)</f>
        <v>16190000</v>
      </c>
      <c r="J7" s="3">
        <f>IF(tblRevenueMonthly6[[#This Row],[PriorRevenue]]=0,0,tblRevenueMonthly6[[#This Row],[Revenue]]-tblRevenueMonthly6[[#This Row],[PriorRevenue]])</f>
        <v>1860000</v>
      </c>
      <c r="K7" s="3">
        <f>IFERROR(_xlfn.XLOOKUP(EDATE(tblRevenueMonthly6[[#This Row],[UsageMonth]],-1),tblRevenueMonthly[UsageMonth],tblRevenueMonthly[kWh],0),0)</f>
        <v>98000000</v>
      </c>
      <c r="L7" s="3">
        <f>IFERROR(_xlfn.XLOOKUP(EDATE(tblRevenueMonthly6[[#This Row],[UsageMonth]],-1),tblRevenueMonthly[UsageMonth],tblRevenueMonthly[VariableRate],0),0)</f>
        <v>0.155</v>
      </c>
      <c r="M7" s="3">
        <f>IF(tblRevenueMonthly6[[#This Row],[PriorRevenue]]=0,0,(tblRevenueMonthly6[[#This Row],[kWh]]-tblRevenueMonthly6[[#This Row],[PriorkWh]])*tblRevenueMonthly6[[#This Row],[Priorrate]])</f>
        <v>1860000</v>
      </c>
      <c r="N7" s="3">
        <f>IF(tblRevenueMonthly6[[#This Row],[PriorRevenue]]=0,0,tblRevenueMonthly6[[#This Row],[kWh]]*(tblRevenueMonthly6[[#This Row],[VariableRate]]-tblRevenueMonthly6[[#This Row],[Priorrate]]))</f>
        <v>0</v>
      </c>
      <c r="O7" s="2">
        <f>IF(tblRevenueMonthly6[[#This Row],[PriorRevenue]]=0,0,_xlfn.XLOOKUP(EDATE(tblRevenueMonthly6[[#This Row],[UsageMonth]],-1),tblRevenueMonthly[UsageMonth],tblRevenueMonthly[FixedCharge],0))</f>
        <v>10</v>
      </c>
      <c r="P7" s="2">
        <f>IF(tblRevenueMonthly6[[#This Row],[PriorRevenue]]=0,0,tblRevenueMonthly6[[#This Row],[Customers]]*(tblRevenueMonthly6[[#This Row],[FixedCharge]]-tblRevenueMonthly6[[#This Row],[PriorFixedCharge]]))</f>
        <v>0</v>
      </c>
      <c r="Q7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8" spans="1:17" x14ac:dyDescent="0.3">
      <c r="A8" s="1">
        <f t="shared" si="0"/>
        <v>45839</v>
      </c>
      <c r="B8" t="s">
        <v>11</v>
      </c>
      <c r="C8" t="s">
        <v>12</v>
      </c>
      <c r="D8">
        <v>100000</v>
      </c>
      <c r="E8" s="2" cm="1">
        <f t="array" ref="E8">ROUND(100000000*INDEX({0.94,0.92,0.9,0.92,0.98,1.1,1.22,1.2,1.08,0.99,0.96,0.94},MONTH(A8)),0)</f>
        <v>122000000</v>
      </c>
      <c r="F8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8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8">
        <f>tblRevenueMonthly6[[#This Row],[Customers]]*tblRevenueMonthly6[[#This Row],[FixedCharge]]+tblRevenueMonthly6[[#This Row],[kWh]]*tblRevenueMonthly6[[#This Row],[VariableRate]]</f>
        <v>19910000</v>
      </c>
      <c r="I8" s="3">
        <f>IFERROR(_xlfn.XLOOKUP(EDATE(tblRevenueMonthly6[[#This Row],[UsageMonth]],-1),tblRevenueMonthly[UsageMonth],tblRevenueMonthly[Revenue],0),0)</f>
        <v>18050000</v>
      </c>
      <c r="J8" s="3">
        <f>IF(tblRevenueMonthly6[[#This Row],[PriorRevenue]]=0,0,tblRevenueMonthly6[[#This Row],[Revenue]]-tblRevenueMonthly6[[#This Row],[PriorRevenue]])</f>
        <v>1860000</v>
      </c>
      <c r="K8" s="3">
        <f>IFERROR(_xlfn.XLOOKUP(EDATE(tblRevenueMonthly6[[#This Row],[UsageMonth]],-1),tblRevenueMonthly[UsageMonth],tblRevenueMonthly[kWh],0),0)</f>
        <v>110000000</v>
      </c>
      <c r="L8" s="3">
        <f>IFERROR(_xlfn.XLOOKUP(EDATE(tblRevenueMonthly6[[#This Row],[UsageMonth]],-1),tblRevenueMonthly[UsageMonth],tblRevenueMonthly[VariableRate],0),0)</f>
        <v>0.155</v>
      </c>
      <c r="M8" s="3">
        <f>IF(tblRevenueMonthly6[[#This Row],[PriorRevenue]]=0,0,(tblRevenueMonthly6[[#This Row],[kWh]]-tblRevenueMonthly6[[#This Row],[PriorkWh]])*tblRevenueMonthly6[[#This Row],[Priorrate]])</f>
        <v>1860000</v>
      </c>
      <c r="N8" s="3">
        <f>IF(tblRevenueMonthly6[[#This Row],[PriorRevenue]]=0,0,tblRevenueMonthly6[[#This Row],[kWh]]*(tblRevenueMonthly6[[#This Row],[VariableRate]]-tblRevenueMonthly6[[#This Row],[Priorrate]]))</f>
        <v>0</v>
      </c>
      <c r="O8" s="2">
        <f>IF(tblRevenueMonthly6[[#This Row],[PriorRevenue]]=0,0,_xlfn.XLOOKUP(EDATE(tblRevenueMonthly6[[#This Row],[UsageMonth]],-1),tblRevenueMonthly[UsageMonth],tblRevenueMonthly[FixedCharge],0))</f>
        <v>10</v>
      </c>
      <c r="P8" s="2">
        <f>IF(tblRevenueMonthly6[[#This Row],[PriorRevenue]]=0,0,tblRevenueMonthly6[[#This Row],[Customers]]*(tblRevenueMonthly6[[#This Row],[FixedCharge]]-tblRevenueMonthly6[[#This Row],[PriorFixedCharge]]))</f>
        <v>0</v>
      </c>
      <c r="Q8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9" spans="1:17" x14ac:dyDescent="0.3">
      <c r="A9" s="1">
        <f t="shared" si="0"/>
        <v>45870</v>
      </c>
      <c r="B9" t="s">
        <v>11</v>
      </c>
      <c r="C9" t="s">
        <v>12</v>
      </c>
      <c r="D9">
        <v>100000</v>
      </c>
      <c r="E9" s="2" cm="1">
        <f t="array" ref="E9">ROUND(100000000*INDEX({0.94,0.92,0.9,0.92,0.98,1.1,1.22,1.2,1.08,0.99,0.96,0.94},MONTH(A9)),0)</f>
        <v>120000000</v>
      </c>
      <c r="F9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9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9">
        <f>tblRevenueMonthly6[[#This Row],[Customers]]*tblRevenueMonthly6[[#This Row],[FixedCharge]]+tblRevenueMonthly6[[#This Row],[kWh]]*tblRevenueMonthly6[[#This Row],[VariableRate]]</f>
        <v>19600000</v>
      </c>
      <c r="I9" s="3">
        <f>IFERROR(_xlfn.XLOOKUP(EDATE(tblRevenueMonthly6[[#This Row],[UsageMonth]],-1),tblRevenueMonthly[UsageMonth],tblRevenueMonthly[Revenue],0),0)</f>
        <v>19910000</v>
      </c>
      <c r="J9" s="3">
        <f>IF(tblRevenueMonthly6[[#This Row],[PriorRevenue]]=0,0,tblRevenueMonthly6[[#This Row],[Revenue]]-tblRevenueMonthly6[[#This Row],[PriorRevenue]])</f>
        <v>-310000</v>
      </c>
      <c r="K9" s="3">
        <f>IFERROR(_xlfn.XLOOKUP(EDATE(tblRevenueMonthly6[[#This Row],[UsageMonth]],-1),tblRevenueMonthly[UsageMonth],tblRevenueMonthly[kWh],0),0)</f>
        <v>122000000</v>
      </c>
      <c r="L9" s="3">
        <f>IFERROR(_xlfn.XLOOKUP(EDATE(tblRevenueMonthly6[[#This Row],[UsageMonth]],-1),tblRevenueMonthly[UsageMonth],tblRevenueMonthly[VariableRate],0),0)</f>
        <v>0.155</v>
      </c>
      <c r="M9" s="3">
        <f>IF(tblRevenueMonthly6[[#This Row],[PriorRevenue]]=0,0,(tblRevenueMonthly6[[#This Row],[kWh]]-tblRevenueMonthly6[[#This Row],[PriorkWh]])*tblRevenueMonthly6[[#This Row],[Priorrate]])</f>
        <v>-310000</v>
      </c>
      <c r="N9" s="3">
        <f>IF(tblRevenueMonthly6[[#This Row],[PriorRevenue]]=0,0,tblRevenueMonthly6[[#This Row],[kWh]]*(tblRevenueMonthly6[[#This Row],[VariableRate]]-tblRevenueMonthly6[[#This Row],[Priorrate]]))</f>
        <v>0</v>
      </c>
      <c r="O9" s="2">
        <f>IF(tblRevenueMonthly6[[#This Row],[PriorRevenue]]=0,0,_xlfn.XLOOKUP(EDATE(tblRevenueMonthly6[[#This Row],[UsageMonth]],-1),tblRevenueMonthly[UsageMonth],tblRevenueMonthly[FixedCharge],0))</f>
        <v>10</v>
      </c>
      <c r="P9" s="2">
        <f>IF(tblRevenueMonthly6[[#This Row],[PriorRevenue]]=0,0,tblRevenueMonthly6[[#This Row],[Customers]]*(tblRevenueMonthly6[[#This Row],[FixedCharge]]-tblRevenueMonthly6[[#This Row],[PriorFixedCharge]]))</f>
        <v>0</v>
      </c>
      <c r="Q9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0" spans="1:17" x14ac:dyDescent="0.3">
      <c r="A10" s="1">
        <f t="shared" si="0"/>
        <v>45901</v>
      </c>
      <c r="B10" t="s">
        <v>11</v>
      </c>
      <c r="C10" t="s">
        <v>12</v>
      </c>
      <c r="D10">
        <v>100000</v>
      </c>
      <c r="E10" s="2" cm="1">
        <f t="array" ref="E10">ROUND(100000000*INDEX({0.94,0.92,0.9,0.92,0.98,1.1,1.22,1.2,1.08,0.99,0.96,0.94},MONTH(A10)),0)</f>
        <v>108000000</v>
      </c>
      <c r="F10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10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10">
        <f>tblRevenueMonthly6[[#This Row],[Customers]]*tblRevenueMonthly6[[#This Row],[FixedCharge]]+tblRevenueMonthly6[[#This Row],[kWh]]*tblRevenueMonthly6[[#This Row],[VariableRate]]</f>
        <v>17740000</v>
      </c>
      <c r="I10" s="3">
        <f>IFERROR(_xlfn.XLOOKUP(EDATE(tblRevenueMonthly6[[#This Row],[UsageMonth]],-1),tblRevenueMonthly[UsageMonth],tblRevenueMonthly[Revenue],0),0)</f>
        <v>19600000</v>
      </c>
      <c r="J10" s="3">
        <f>IF(tblRevenueMonthly6[[#This Row],[PriorRevenue]]=0,0,tblRevenueMonthly6[[#This Row],[Revenue]]-tblRevenueMonthly6[[#This Row],[PriorRevenue]])</f>
        <v>-1860000</v>
      </c>
      <c r="K10" s="3">
        <f>IFERROR(_xlfn.XLOOKUP(EDATE(tblRevenueMonthly6[[#This Row],[UsageMonth]],-1),tblRevenueMonthly[UsageMonth],tblRevenueMonthly[kWh],0),0)</f>
        <v>120000000</v>
      </c>
      <c r="L10" s="3">
        <f>IFERROR(_xlfn.XLOOKUP(EDATE(tblRevenueMonthly6[[#This Row],[UsageMonth]],-1),tblRevenueMonthly[UsageMonth],tblRevenueMonthly[VariableRate],0),0)</f>
        <v>0.155</v>
      </c>
      <c r="M10" s="3">
        <f>IF(tblRevenueMonthly6[[#This Row],[PriorRevenue]]=0,0,(tblRevenueMonthly6[[#This Row],[kWh]]-tblRevenueMonthly6[[#This Row],[PriorkWh]])*tblRevenueMonthly6[[#This Row],[Priorrate]])</f>
        <v>-1860000</v>
      </c>
      <c r="N10" s="3">
        <f>IF(tblRevenueMonthly6[[#This Row],[PriorRevenue]]=0,0,tblRevenueMonthly6[[#This Row],[kWh]]*(tblRevenueMonthly6[[#This Row],[VariableRate]]-tblRevenueMonthly6[[#This Row],[Priorrate]]))</f>
        <v>0</v>
      </c>
      <c r="O10" s="2">
        <f>IF(tblRevenueMonthly6[[#This Row],[PriorRevenue]]=0,0,_xlfn.XLOOKUP(EDATE(tblRevenueMonthly6[[#This Row],[UsageMonth]],-1),tblRevenueMonthly[UsageMonth],tblRevenueMonthly[FixedCharge],0))</f>
        <v>10</v>
      </c>
      <c r="P10" s="2">
        <f>IF(tblRevenueMonthly6[[#This Row],[PriorRevenue]]=0,0,tblRevenueMonthly6[[#This Row],[Customers]]*(tblRevenueMonthly6[[#This Row],[FixedCharge]]-tblRevenueMonthly6[[#This Row],[PriorFixedCharge]]))</f>
        <v>0</v>
      </c>
      <c r="Q10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1" spans="1:17" x14ac:dyDescent="0.3">
      <c r="A11" s="1">
        <f t="shared" si="0"/>
        <v>45931</v>
      </c>
      <c r="B11" t="s">
        <v>11</v>
      </c>
      <c r="C11" t="s">
        <v>12</v>
      </c>
      <c r="D11">
        <v>100000</v>
      </c>
      <c r="E11" s="2" cm="1">
        <f t="array" ref="E11">ROUND(100000000*INDEX({0.94,0.92,0.9,0.92,0.98,1.1,1.22,1.2,1.08,0.99,0.96,0.94},MONTH(A11)),0)</f>
        <v>99000000</v>
      </c>
      <c r="F11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11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11">
        <f>tblRevenueMonthly6[[#This Row],[Customers]]*tblRevenueMonthly6[[#This Row],[FixedCharge]]+tblRevenueMonthly6[[#This Row],[kWh]]*tblRevenueMonthly6[[#This Row],[VariableRate]]</f>
        <v>16345000</v>
      </c>
      <c r="I11" s="3">
        <f>IFERROR(_xlfn.XLOOKUP(EDATE(tblRevenueMonthly6[[#This Row],[UsageMonth]],-1),tblRevenueMonthly[UsageMonth],tblRevenueMonthly[Revenue],0),0)</f>
        <v>17740000</v>
      </c>
      <c r="J11" s="3">
        <f>IF(tblRevenueMonthly6[[#This Row],[PriorRevenue]]=0,0,tblRevenueMonthly6[[#This Row],[Revenue]]-tblRevenueMonthly6[[#This Row],[PriorRevenue]])</f>
        <v>-1395000</v>
      </c>
      <c r="K11" s="3">
        <f>IFERROR(_xlfn.XLOOKUP(EDATE(tblRevenueMonthly6[[#This Row],[UsageMonth]],-1),tblRevenueMonthly[UsageMonth],tblRevenueMonthly[kWh],0),0)</f>
        <v>108000000</v>
      </c>
      <c r="L11" s="3">
        <f>IFERROR(_xlfn.XLOOKUP(EDATE(tblRevenueMonthly6[[#This Row],[UsageMonth]],-1),tblRevenueMonthly[UsageMonth],tblRevenueMonthly[VariableRate],0),0)</f>
        <v>0.155</v>
      </c>
      <c r="M11" s="3">
        <f>IF(tblRevenueMonthly6[[#This Row],[PriorRevenue]]=0,0,(tblRevenueMonthly6[[#This Row],[kWh]]-tblRevenueMonthly6[[#This Row],[PriorkWh]])*tblRevenueMonthly6[[#This Row],[Priorrate]])</f>
        <v>-1395000</v>
      </c>
      <c r="N11" s="3">
        <f>IF(tblRevenueMonthly6[[#This Row],[PriorRevenue]]=0,0,tblRevenueMonthly6[[#This Row],[kWh]]*(tblRevenueMonthly6[[#This Row],[VariableRate]]-tblRevenueMonthly6[[#This Row],[Priorrate]]))</f>
        <v>0</v>
      </c>
      <c r="O11" s="2">
        <f>IF(tblRevenueMonthly6[[#This Row],[PriorRevenue]]=0,0,_xlfn.XLOOKUP(EDATE(tblRevenueMonthly6[[#This Row],[UsageMonth]],-1),tblRevenueMonthly[UsageMonth],tblRevenueMonthly[FixedCharge],0))</f>
        <v>10</v>
      </c>
      <c r="P11" s="2">
        <f>IF(tblRevenueMonthly6[[#This Row],[PriorRevenue]]=0,0,tblRevenueMonthly6[[#This Row],[Customers]]*(tblRevenueMonthly6[[#This Row],[FixedCharge]]-tblRevenueMonthly6[[#This Row],[PriorFixedCharge]]))</f>
        <v>0</v>
      </c>
      <c r="Q11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2" spans="1:17" x14ac:dyDescent="0.3">
      <c r="A12" s="1">
        <f t="shared" si="0"/>
        <v>45962</v>
      </c>
      <c r="B12" t="s">
        <v>11</v>
      </c>
      <c r="C12" t="s">
        <v>12</v>
      </c>
      <c r="D12">
        <v>100000</v>
      </c>
      <c r="E12" s="2" cm="1">
        <f t="array" ref="E12">ROUND(100000000*INDEX({0.94,0.92,0.9,0.92,0.98,1.1,1.22,1.2,1.08,0.99,0.96,0.94},MONTH(A12)),0)</f>
        <v>96000000</v>
      </c>
      <c r="F12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12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12">
        <f>tblRevenueMonthly6[[#This Row],[Customers]]*tblRevenueMonthly6[[#This Row],[FixedCharge]]+tblRevenueMonthly6[[#This Row],[kWh]]*tblRevenueMonthly6[[#This Row],[VariableRate]]</f>
        <v>15880000</v>
      </c>
      <c r="I12" s="3">
        <f>IFERROR(_xlfn.XLOOKUP(EDATE(tblRevenueMonthly6[[#This Row],[UsageMonth]],-1),tblRevenueMonthly[UsageMonth],tblRevenueMonthly[Revenue],0),0)</f>
        <v>16345000</v>
      </c>
      <c r="J12" s="3">
        <f>IF(tblRevenueMonthly6[[#This Row],[PriorRevenue]]=0,0,tblRevenueMonthly6[[#This Row],[Revenue]]-tblRevenueMonthly6[[#This Row],[PriorRevenue]])</f>
        <v>-465000</v>
      </c>
      <c r="K12" s="3">
        <f>IFERROR(_xlfn.XLOOKUP(EDATE(tblRevenueMonthly6[[#This Row],[UsageMonth]],-1),tblRevenueMonthly[UsageMonth],tblRevenueMonthly[kWh],0),0)</f>
        <v>99000000</v>
      </c>
      <c r="L12" s="3">
        <f>IFERROR(_xlfn.XLOOKUP(EDATE(tblRevenueMonthly6[[#This Row],[UsageMonth]],-1),tblRevenueMonthly[UsageMonth],tblRevenueMonthly[VariableRate],0),0)</f>
        <v>0.155</v>
      </c>
      <c r="M12" s="3">
        <f>IF(tblRevenueMonthly6[[#This Row],[PriorRevenue]]=0,0,(tblRevenueMonthly6[[#This Row],[kWh]]-tblRevenueMonthly6[[#This Row],[PriorkWh]])*tblRevenueMonthly6[[#This Row],[Priorrate]])</f>
        <v>-465000</v>
      </c>
      <c r="N12" s="3">
        <f>IF(tblRevenueMonthly6[[#This Row],[PriorRevenue]]=0,0,tblRevenueMonthly6[[#This Row],[kWh]]*(tblRevenueMonthly6[[#This Row],[VariableRate]]-tblRevenueMonthly6[[#This Row],[Priorrate]]))</f>
        <v>0</v>
      </c>
      <c r="O12" s="2">
        <f>IF(tblRevenueMonthly6[[#This Row],[PriorRevenue]]=0,0,_xlfn.XLOOKUP(EDATE(tblRevenueMonthly6[[#This Row],[UsageMonth]],-1),tblRevenueMonthly[UsageMonth],tblRevenueMonthly[FixedCharge],0))</f>
        <v>10</v>
      </c>
      <c r="P12" s="2">
        <f>IF(tblRevenueMonthly6[[#This Row],[PriorRevenue]]=0,0,tblRevenueMonthly6[[#This Row],[Customers]]*(tblRevenueMonthly6[[#This Row],[FixedCharge]]-tblRevenueMonthly6[[#This Row],[PriorFixedCharge]]))</f>
        <v>0</v>
      </c>
      <c r="Q12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3" spans="1:17" x14ac:dyDescent="0.3">
      <c r="A13" s="1">
        <f t="shared" si="0"/>
        <v>45992</v>
      </c>
      <c r="B13" t="s">
        <v>11</v>
      </c>
      <c r="C13" t="s">
        <v>12</v>
      </c>
      <c r="D13">
        <v>100000</v>
      </c>
      <c r="E13" s="2" cm="1">
        <f t="array" ref="E13">ROUND(100000000*INDEX({0.94,0.92,0.9,0.92,0.98,1.1,1.22,1.2,1.08,0.99,0.96,0.94},MONTH(A13)),0)</f>
        <v>94000000</v>
      </c>
      <c r="F13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10</v>
      </c>
      <c r="G13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0.155</v>
      </c>
      <c r="H13">
        <f>tblRevenueMonthly6[[#This Row],[Customers]]*tblRevenueMonthly6[[#This Row],[FixedCharge]]+tblRevenueMonthly6[[#This Row],[kWh]]*tblRevenueMonthly6[[#This Row],[VariableRate]]</f>
        <v>15570000</v>
      </c>
      <c r="I13" s="3">
        <f>IFERROR(_xlfn.XLOOKUP(EDATE(tblRevenueMonthly6[[#This Row],[UsageMonth]],-1),tblRevenueMonthly[UsageMonth],tblRevenueMonthly[Revenue],0),0)</f>
        <v>15880000</v>
      </c>
      <c r="J13" s="3">
        <f>IF(tblRevenueMonthly6[[#This Row],[PriorRevenue]]=0,0,tblRevenueMonthly6[[#This Row],[Revenue]]-tblRevenueMonthly6[[#This Row],[PriorRevenue]])</f>
        <v>-310000</v>
      </c>
      <c r="K13" s="3">
        <f>IFERROR(_xlfn.XLOOKUP(EDATE(tblRevenueMonthly6[[#This Row],[UsageMonth]],-1),tblRevenueMonthly[UsageMonth],tblRevenueMonthly[kWh],0),0)</f>
        <v>96000000</v>
      </c>
      <c r="L13" s="3">
        <f>IFERROR(_xlfn.XLOOKUP(EDATE(tblRevenueMonthly6[[#This Row],[UsageMonth]],-1),tblRevenueMonthly[UsageMonth],tblRevenueMonthly[VariableRate],0),0)</f>
        <v>0.155</v>
      </c>
      <c r="M13" s="3">
        <f>IF(tblRevenueMonthly6[[#This Row],[PriorRevenue]]=0,0,(tblRevenueMonthly6[[#This Row],[kWh]]-tblRevenueMonthly6[[#This Row],[PriorkWh]])*tblRevenueMonthly6[[#This Row],[Priorrate]])</f>
        <v>-310000</v>
      </c>
      <c r="N13" s="3">
        <f>IF(tblRevenueMonthly6[[#This Row],[PriorRevenue]]=0,0,tblRevenueMonthly6[[#This Row],[kWh]]*(tblRevenueMonthly6[[#This Row],[VariableRate]]-tblRevenueMonthly6[[#This Row],[Priorrate]]))</f>
        <v>0</v>
      </c>
      <c r="O13" s="2">
        <f>IF(tblRevenueMonthly6[[#This Row],[PriorRevenue]]=0,0,_xlfn.XLOOKUP(EDATE(tblRevenueMonthly6[[#This Row],[UsageMonth]],-1),tblRevenueMonthly[UsageMonth],tblRevenueMonthly[FixedCharge],0))</f>
        <v>10</v>
      </c>
      <c r="P13" s="2">
        <f>IF(tblRevenueMonthly6[[#This Row],[PriorRevenue]]=0,0,tblRevenueMonthly6[[#This Row],[Customers]]*(tblRevenueMonthly6[[#This Row],[FixedCharge]]-tblRevenueMonthly6[[#This Row],[PriorFixedCharge]]))</f>
        <v>0</v>
      </c>
      <c r="Q13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4" spans="1:17" x14ac:dyDescent="0.3">
      <c r="A14" s="1">
        <f t="shared" si="0"/>
        <v>46023</v>
      </c>
      <c r="B14" t="s">
        <v>11</v>
      </c>
      <c r="C14" t="s">
        <v>12</v>
      </c>
      <c r="D14">
        <v>100000</v>
      </c>
      <c r="E14" s="2" cm="1">
        <f t="array" ref="E14">ROUND(100000000*INDEX({0.94,0.92,0.9,0.92,0.98,1.1,1.22,1.2,1.08,0.99,0.96,0.94},MONTH(A14)),0)</f>
        <v>94000000</v>
      </c>
      <c r="F14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4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4">
        <f>tblRevenueMonthly6[[#This Row],[Customers]]*tblRevenueMonthly6[[#This Row],[FixedCharge]]+tblRevenueMonthly6[[#This Row],[kWh]]*tblRevenueMonthly6[[#This Row],[VariableRate]]</f>
        <v>16146000</v>
      </c>
      <c r="I14" s="3">
        <f>IFERROR(_xlfn.XLOOKUP(EDATE(tblRevenueMonthly6[[#This Row],[UsageMonth]],-1),tblRevenueMonthly[UsageMonth],tblRevenueMonthly[Revenue],0),0)</f>
        <v>15570000</v>
      </c>
      <c r="J14" s="3">
        <f>IF(tblRevenueMonthly6[[#This Row],[PriorRevenue]]=0,0,tblRevenueMonthly6[[#This Row],[Revenue]]-tblRevenueMonthly6[[#This Row],[PriorRevenue]])</f>
        <v>576000</v>
      </c>
      <c r="K14" s="3">
        <f>IFERROR(_xlfn.XLOOKUP(EDATE(tblRevenueMonthly6[[#This Row],[UsageMonth]],-1),tblRevenueMonthly[UsageMonth],tblRevenueMonthly[kWh],0),0)</f>
        <v>94000000</v>
      </c>
      <c r="L14" s="3">
        <f>IFERROR(_xlfn.XLOOKUP(EDATE(tblRevenueMonthly6[[#This Row],[UsageMonth]],-1),tblRevenueMonthly[UsageMonth],tblRevenueMonthly[VariableRate],0),0)</f>
        <v>0.155</v>
      </c>
      <c r="M14" s="3">
        <f>IF(tblRevenueMonthly6[[#This Row],[PriorRevenue]]=0,0,(tblRevenueMonthly6[[#This Row],[kWh]]-tblRevenueMonthly6[[#This Row],[PriorkWh]])*tblRevenueMonthly6[[#This Row],[Priorrate]])</f>
        <v>0</v>
      </c>
      <c r="N14" s="3">
        <f>IF(tblRevenueMonthly6[[#This Row],[PriorRevenue]]=0,0,tblRevenueMonthly6[[#This Row],[kWh]]*(tblRevenueMonthly6[[#This Row],[VariableRate]]-tblRevenueMonthly6[[#This Row],[Priorrate]]))</f>
        <v>376000.00000000035</v>
      </c>
      <c r="O14" s="2">
        <f>IF(tblRevenueMonthly6[[#This Row],[PriorRevenue]]=0,0,_xlfn.XLOOKUP(EDATE(tblRevenueMonthly6[[#This Row],[UsageMonth]],-1),tblRevenueMonthly[UsageMonth],tblRevenueMonthly[FixedCharge],0))</f>
        <v>10</v>
      </c>
      <c r="P14" s="2">
        <f>IF(tblRevenueMonthly6[[#This Row],[PriorRevenue]]=0,0,tblRevenueMonthly6[[#This Row],[Customers]]*(tblRevenueMonthly6[[#This Row],[FixedCharge]]-tblRevenueMonthly6[[#This Row],[PriorFixedCharge]]))</f>
        <v>200000</v>
      </c>
      <c r="Q14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-3.4924596548080444E-10</v>
      </c>
    </row>
    <row r="15" spans="1:17" x14ac:dyDescent="0.3">
      <c r="A15" s="1">
        <f t="shared" si="0"/>
        <v>46054</v>
      </c>
      <c r="B15" t="s">
        <v>11</v>
      </c>
      <c r="C15" t="s">
        <v>12</v>
      </c>
      <c r="D15">
        <v>100000</v>
      </c>
      <c r="E15" s="2" cm="1">
        <f t="array" ref="E15">ROUND(100000000*INDEX({0.94,0.92,0.9,0.92,0.98,1.1,1.22,1.2,1.08,0.99,0.96,0.94},MONTH(A15)),0)</f>
        <v>92000000</v>
      </c>
      <c r="F15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5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5">
        <f>tblRevenueMonthly6[[#This Row],[Customers]]*tblRevenueMonthly6[[#This Row],[FixedCharge]]+tblRevenueMonthly6[[#This Row],[kWh]]*tblRevenueMonthly6[[#This Row],[VariableRate]]</f>
        <v>15828000</v>
      </c>
      <c r="I15" s="3">
        <f>IFERROR(_xlfn.XLOOKUP(EDATE(tblRevenueMonthly6[[#This Row],[UsageMonth]],-1),tblRevenueMonthly[UsageMonth],tblRevenueMonthly[Revenue],0),0)</f>
        <v>16146000</v>
      </c>
      <c r="J15" s="3">
        <f>IF(tblRevenueMonthly6[[#This Row],[PriorRevenue]]=0,0,tblRevenueMonthly6[[#This Row],[Revenue]]-tblRevenueMonthly6[[#This Row],[PriorRevenue]])</f>
        <v>-318000</v>
      </c>
      <c r="K15" s="3">
        <f>IFERROR(_xlfn.XLOOKUP(EDATE(tblRevenueMonthly6[[#This Row],[UsageMonth]],-1),tblRevenueMonthly[UsageMonth],tblRevenueMonthly[kWh],0),0)</f>
        <v>94000000</v>
      </c>
      <c r="L15" s="3">
        <f>IFERROR(_xlfn.XLOOKUP(EDATE(tblRevenueMonthly6[[#This Row],[UsageMonth]],-1),tblRevenueMonthly[UsageMonth],tblRevenueMonthly[VariableRate],0),0)</f>
        <v>0.159</v>
      </c>
      <c r="M15" s="3">
        <f>IF(tblRevenueMonthly6[[#This Row],[PriorRevenue]]=0,0,(tblRevenueMonthly6[[#This Row],[kWh]]-tblRevenueMonthly6[[#This Row],[PriorkWh]])*tblRevenueMonthly6[[#This Row],[Priorrate]])</f>
        <v>-318000</v>
      </c>
      <c r="N15" s="3">
        <f>IF(tblRevenueMonthly6[[#This Row],[PriorRevenue]]=0,0,tblRevenueMonthly6[[#This Row],[kWh]]*(tblRevenueMonthly6[[#This Row],[VariableRate]]-tblRevenueMonthly6[[#This Row],[Priorrate]]))</f>
        <v>0</v>
      </c>
      <c r="O15" s="2">
        <f>IF(tblRevenueMonthly6[[#This Row],[PriorRevenue]]=0,0,_xlfn.XLOOKUP(EDATE(tblRevenueMonthly6[[#This Row],[UsageMonth]],-1),tblRevenueMonthly[UsageMonth],tblRevenueMonthly[FixedCharge],0))</f>
        <v>12</v>
      </c>
      <c r="P15" s="2">
        <f>IF(tblRevenueMonthly6[[#This Row],[PriorRevenue]]=0,0,tblRevenueMonthly6[[#This Row],[Customers]]*(tblRevenueMonthly6[[#This Row],[FixedCharge]]-tblRevenueMonthly6[[#This Row],[PriorFixedCharge]]))</f>
        <v>0</v>
      </c>
      <c r="Q15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6" spans="1:17" x14ac:dyDescent="0.3">
      <c r="A16" s="1">
        <f t="shared" si="0"/>
        <v>46082</v>
      </c>
      <c r="B16" t="s">
        <v>11</v>
      </c>
      <c r="C16" t="s">
        <v>12</v>
      </c>
      <c r="D16">
        <v>100000</v>
      </c>
      <c r="E16" s="2" cm="1">
        <f t="array" ref="E16">ROUND(100000000*INDEX({0.94,0.92,0.9,0.92,0.98,1.1,1.22,1.2,1.08,0.99,0.96,0.94},MONTH(A16)),0)</f>
        <v>90000000</v>
      </c>
      <c r="F16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6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6">
        <f>tblRevenueMonthly6[[#This Row],[Customers]]*tblRevenueMonthly6[[#This Row],[FixedCharge]]+tblRevenueMonthly6[[#This Row],[kWh]]*tblRevenueMonthly6[[#This Row],[VariableRate]]</f>
        <v>15510000</v>
      </c>
      <c r="I16" s="3">
        <f>IFERROR(_xlfn.XLOOKUP(EDATE(tblRevenueMonthly6[[#This Row],[UsageMonth]],-1),tblRevenueMonthly[UsageMonth],tblRevenueMonthly[Revenue],0),0)</f>
        <v>15828000</v>
      </c>
      <c r="J16" s="3">
        <f>IF(tblRevenueMonthly6[[#This Row],[PriorRevenue]]=0,0,tblRevenueMonthly6[[#This Row],[Revenue]]-tblRevenueMonthly6[[#This Row],[PriorRevenue]])</f>
        <v>-318000</v>
      </c>
      <c r="K16" s="3">
        <f>IFERROR(_xlfn.XLOOKUP(EDATE(tblRevenueMonthly6[[#This Row],[UsageMonth]],-1),tblRevenueMonthly[UsageMonth],tblRevenueMonthly[kWh],0),0)</f>
        <v>92000000</v>
      </c>
      <c r="L16" s="3">
        <f>IFERROR(_xlfn.XLOOKUP(EDATE(tblRevenueMonthly6[[#This Row],[UsageMonth]],-1),tblRevenueMonthly[UsageMonth],tblRevenueMonthly[VariableRate],0),0)</f>
        <v>0.159</v>
      </c>
      <c r="M16" s="3">
        <f>IF(tblRevenueMonthly6[[#This Row],[PriorRevenue]]=0,0,(tblRevenueMonthly6[[#This Row],[kWh]]-tblRevenueMonthly6[[#This Row],[PriorkWh]])*tblRevenueMonthly6[[#This Row],[Priorrate]])</f>
        <v>-318000</v>
      </c>
      <c r="N16" s="3">
        <f>IF(tblRevenueMonthly6[[#This Row],[PriorRevenue]]=0,0,tblRevenueMonthly6[[#This Row],[kWh]]*(tblRevenueMonthly6[[#This Row],[VariableRate]]-tblRevenueMonthly6[[#This Row],[Priorrate]]))</f>
        <v>0</v>
      </c>
      <c r="O16" s="2">
        <f>IF(tblRevenueMonthly6[[#This Row],[PriorRevenue]]=0,0,_xlfn.XLOOKUP(EDATE(tblRevenueMonthly6[[#This Row],[UsageMonth]],-1),tblRevenueMonthly[UsageMonth],tblRevenueMonthly[FixedCharge],0))</f>
        <v>12</v>
      </c>
      <c r="P16" s="2">
        <f>IF(tblRevenueMonthly6[[#This Row],[PriorRevenue]]=0,0,tblRevenueMonthly6[[#This Row],[Customers]]*(tblRevenueMonthly6[[#This Row],[FixedCharge]]-tblRevenueMonthly6[[#This Row],[PriorFixedCharge]]))</f>
        <v>0</v>
      </c>
      <c r="Q16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7" spans="1:17" x14ac:dyDescent="0.3">
      <c r="A17" s="1">
        <f t="shared" si="0"/>
        <v>46113</v>
      </c>
      <c r="B17" t="s">
        <v>11</v>
      </c>
      <c r="C17" t="s">
        <v>12</v>
      </c>
      <c r="D17">
        <v>100000</v>
      </c>
      <c r="E17" s="2" cm="1">
        <f t="array" ref="E17">ROUND(100000000*INDEX({0.94,0.92,0.9,0.92,0.98,1.1,1.22,1.2,1.08,0.99,0.96,0.94},MONTH(A17)),0)</f>
        <v>92000000</v>
      </c>
      <c r="F17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7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7">
        <f>tblRevenueMonthly6[[#This Row],[Customers]]*tblRevenueMonthly6[[#This Row],[FixedCharge]]+tblRevenueMonthly6[[#This Row],[kWh]]*tblRevenueMonthly6[[#This Row],[VariableRate]]</f>
        <v>15828000</v>
      </c>
      <c r="I17" s="3">
        <f>IFERROR(_xlfn.XLOOKUP(EDATE(tblRevenueMonthly6[[#This Row],[UsageMonth]],-1),tblRevenueMonthly[UsageMonth],tblRevenueMonthly[Revenue],0),0)</f>
        <v>15510000</v>
      </c>
      <c r="J17" s="3">
        <f>IF(tblRevenueMonthly6[[#This Row],[PriorRevenue]]=0,0,tblRevenueMonthly6[[#This Row],[Revenue]]-tblRevenueMonthly6[[#This Row],[PriorRevenue]])</f>
        <v>318000</v>
      </c>
      <c r="K17" s="3">
        <f>IFERROR(_xlfn.XLOOKUP(EDATE(tblRevenueMonthly6[[#This Row],[UsageMonth]],-1),tblRevenueMonthly[UsageMonth],tblRevenueMonthly[kWh],0),0)</f>
        <v>90000000</v>
      </c>
      <c r="L17" s="3">
        <f>IFERROR(_xlfn.XLOOKUP(EDATE(tblRevenueMonthly6[[#This Row],[UsageMonth]],-1),tblRevenueMonthly[UsageMonth],tblRevenueMonthly[VariableRate],0),0)</f>
        <v>0.159</v>
      </c>
      <c r="M17" s="3">
        <f>IF(tblRevenueMonthly6[[#This Row],[PriorRevenue]]=0,0,(tblRevenueMonthly6[[#This Row],[kWh]]-tblRevenueMonthly6[[#This Row],[PriorkWh]])*tblRevenueMonthly6[[#This Row],[Priorrate]])</f>
        <v>318000</v>
      </c>
      <c r="N17" s="3">
        <f>IF(tblRevenueMonthly6[[#This Row],[PriorRevenue]]=0,0,tblRevenueMonthly6[[#This Row],[kWh]]*(tblRevenueMonthly6[[#This Row],[VariableRate]]-tblRevenueMonthly6[[#This Row],[Priorrate]]))</f>
        <v>0</v>
      </c>
      <c r="O17" s="2">
        <f>IF(tblRevenueMonthly6[[#This Row],[PriorRevenue]]=0,0,_xlfn.XLOOKUP(EDATE(tblRevenueMonthly6[[#This Row],[UsageMonth]],-1),tblRevenueMonthly[UsageMonth],tblRevenueMonthly[FixedCharge],0))</f>
        <v>12</v>
      </c>
      <c r="P17" s="2">
        <f>IF(tblRevenueMonthly6[[#This Row],[PriorRevenue]]=0,0,tblRevenueMonthly6[[#This Row],[Customers]]*(tblRevenueMonthly6[[#This Row],[FixedCharge]]-tblRevenueMonthly6[[#This Row],[PriorFixedCharge]]))</f>
        <v>0</v>
      </c>
      <c r="Q17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8" spans="1:17" x14ac:dyDescent="0.3">
      <c r="A18" s="1">
        <f t="shared" si="0"/>
        <v>46143</v>
      </c>
      <c r="B18" t="s">
        <v>11</v>
      </c>
      <c r="C18" t="s">
        <v>12</v>
      </c>
      <c r="D18">
        <v>100000</v>
      </c>
      <c r="E18" s="2" cm="1">
        <f t="array" ref="E18">ROUND(100000000*INDEX({0.94,0.92,0.9,0.92,0.98,1.1,1.22,1.2,1.08,0.99,0.96,0.94},MONTH(A18)),0)</f>
        <v>98000000</v>
      </c>
      <c r="F18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8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8">
        <f>tblRevenueMonthly6[[#This Row],[Customers]]*tblRevenueMonthly6[[#This Row],[FixedCharge]]+tblRevenueMonthly6[[#This Row],[kWh]]*tblRevenueMonthly6[[#This Row],[VariableRate]]</f>
        <v>16782000</v>
      </c>
      <c r="I18" s="3">
        <f>IFERROR(_xlfn.XLOOKUP(EDATE(tblRevenueMonthly6[[#This Row],[UsageMonth]],-1),tblRevenueMonthly[UsageMonth],tblRevenueMonthly[Revenue],0),0)</f>
        <v>15828000</v>
      </c>
      <c r="J18" s="3">
        <f>IF(tblRevenueMonthly6[[#This Row],[PriorRevenue]]=0,0,tblRevenueMonthly6[[#This Row],[Revenue]]-tblRevenueMonthly6[[#This Row],[PriorRevenue]])</f>
        <v>954000</v>
      </c>
      <c r="K18" s="3">
        <f>IFERROR(_xlfn.XLOOKUP(EDATE(tblRevenueMonthly6[[#This Row],[UsageMonth]],-1),tblRevenueMonthly[UsageMonth],tblRevenueMonthly[kWh],0),0)</f>
        <v>92000000</v>
      </c>
      <c r="L18" s="3">
        <f>IFERROR(_xlfn.XLOOKUP(EDATE(tblRevenueMonthly6[[#This Row],[UsageMonth]],-1),tblRevenueMonthly[UsageMonth],tblRevenueMonthly[VariableRate],0),0)</f>
        <v>0.159</v>
      </c>
      <c r="M18" s="3">
        <f>IF(tblRevenueMonthly6[[#This Row],[PriorRevenue]]=0,0,(tblRevenueMonthly6[[#This Row],[kWh]]-tblRevenueMonthly6[[#This Row],[PriorkWh]])*tblRevenueMonthly6[[#This Row],[Priorrate]])</f>
        <v>954000</v>
      </c>
      <c r="N18" s="3">
        <f>IF(tblRevenueMonthly6[[#This Row],[PriorRevenue]]=0,0,tblRevenueMonthly6[[#This Row],[kWh]]*(tblRevenueMonthly6[[#This Row],[VariableRate]]-tblRevenueMonthly6[[#This Row],[Priorrate]]))</f>
        <v>0</v>
      </c>
      <c r="O18" s="2">
        <f>IF(tblRevenueMonthly6[[#This Row],[PriorRevenue]]=0,0,_xlfn.XLOOKUP(EDATE(tblRevenueMonthly6[[#This Row],[UsageMonth]],-1),tblRevenueMonthly[UsageMonth],tblRevenueMonthly[FixedCharge],0))</f>
        <v>12</v>
      </c>
      <c r="P18" s="2">
        <f>IF(tblRevenueMonthly6[[#This Row],[PriorRevenue]]=0,0,tblRevenueMonthly6[[#This Row],[Customers]]*(tblRevenueMonthly6[[#This Row],[FixedCharge]]-tblRevenueMonthly6[[#This Row],[PriorFixedCharge]]))</f>
        <v>0</v>
      </c>
      <c r="Q18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19" spans="1:17" x14ac:dyDescent="0.3">
      <c r="A19" s="1">
        <f t="shared" si="0"/>
        <v>46174</v>
      </c>
      <c r="B19" t="s">
        <v>11</v>
      </c>
      <c r="C19" t="s">
        <v>12</v>
      </c>
      <c r="D19">
        <v>100000</v>
      </c>
      <c r="E19" s="2" cm="1">
        <f t="array" ref="E19">ROUND(100000000*INDEX({0.94,0.92,0.9,0.92,0.98,1.1,1.22,1.2,1.08,0.99,0.96,0.94},MONTH(A19)),0)</f>
        <v>110000000</v>
      </c>
      <c r="F19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19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19">
        <f>tblRevenueMonthly6[[#This Row],[Customers]]*tblRevenueMonthly6[[#This Row],[FixedCharge]]+tblRevenueMonthly6[[#This Row],[kWh]]*tblRevenueMonthly6[[#This Row],[VariableRate]]</f>
        <v>18690000</v>
      </c>
      <c r="I19" s="3">
        <f>IFERROR(_xlfn.XLOOKUP(EDATE(tblRevenueMonthly6[[#This Row],[UsageMonth]],-1),tblRevenueMonthly[UsageMonth],tblRevenueMonthly[Revenue],0),0)</f>
        <v>16782000</v>
      </c>
      <c r="J19" s="3">
        <f>IF(tblRevenueMonthly6[[#This Row],[PriorRevenue]]=0,0,tblRevenueMonthly6[[#This Row],[Revenue]]-tblRevenueMonthly6[[#This Row],[PriorRevenue]])</f>
        <v>1908000</v>
      </c>
      <c r="K19" s="3">
        <f>IFERROR(_xlfn.XLOOKUP(EDATE(tblRevenueMonthly6[[#This Row],[UsageMonth]],-1),tblRevenueMonthly[UsageMonth],tblRevenueMonthly[kWh],0),0)</f>
        <v>98000000</v>
      </c>
      <c r="L19" s="3">
        <f>IFERROR(_xlfn.XLOOKUP(EDATE(tblRevenueMonthly6[[#This Row],[UsageMonth]],-1),tblRevenueMonthly[UsageMonth],tblRevenueMonthly[VariableRate],0),0)</f>
        <v>0.159</v>
      </c>
      <c r="M19" s="3">
        <f>IF(tblRevenueMonthly6[[#This Row],[PriorRevenue]]=0,0,(tblRevenueMonthly6[[#This Row],[kWh]]-tblRevenueMonthly6[[#This Row],[PriorkWh]])*tblRevenueMonthly6[[#This Row],[Priorrate]])</f>
        <v>1908000</v>
      </c>
      <c r="N19" s="3">
        <f>IF(tblRevenueMonthly6[[#This Row],[PriorRevenue]]=0,0,tblRevenueMonthly6[[#This Row],[kWh]]*(tblRevenueMonthly6[[#This Row],[VariableRate]]-tblRevenueMonthly6[[#This Row],[Priorrate]]))</f>
        <v>0</v>
      </c>
      <c r="O19" s="2">
        <f>IF(tblRevenueMonthly6[[#This Row],[PriorRevenue]]=0,0,_xlfn.XLOOKUP(EDATE(tblRevenueMonthly6[[#This Row],[UsageMonth]],-1),tblRevenueMonthly[UsageMonth],tblRevenueMonthly[FixedCharge],0))</f>
        <v>12</v>
      </c>
      <c r="P19" s="2">
        <f>IF(tblRevenueMonthly6[[#This Row],[PriorRevenue]]=0,0,tblRevenueMonthly6[[#This Row],[Customers]]*(tblRevenueMonthly6[[#This Row],[FixedCharge]]-tblRevenueMonthly6[[#This Row],[PriorFixedCharge]]))</f>
        <v>0</v>
      </c>
      <c r="Q19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0" spans="1:17" x14ac:dyDescent="0.3">
      <c r="A20" s="1">
        <f t="shared" si="0"/>
        <v>46204</v>
      </c>
      <c r="B20" t="s">
        <v>11</v>
      </c>
      <c r="C20" t="s">
        <v>12</v>
      </c>
      <c r="D20">
        <v>100000</v>
      </c>
      <c r="E20" s="2" cm="1">
        <f t="array" ref="E20">ROUND(100000000*INDEX({0.94,0.92,0.9,0.92,0.98,1.1,1.22,1.2,1.08,0.99,0.96,0.94},MONTH(A20)),0)</f>
        <v>122000000</v>
      </c>
      <c r="F20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0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0">
        <f>tblRevenueMonthly6[[#This Row],[Customers]]*tblRevenueMonthly6[[#This Row],[FixedCharge]]+tblRevenueMonthly6[[#This Row],[kWh]]*tblRevenueMonthly6[[#This Row],[VariableRate]]</f>
        <v>20598000</v>
      </c>
      <c r="I20" s="3">
        <f>IFERROR(_xlfn.XLOOKUP(EDATE(tblRevenueMonthly6[[#This Row],[UsageMonth]],-1),tblRevenueMonthly[UsageMonth],tblRevenueMonthly[Revenue],0),0)</f>
        <v>18690000</v>
      </c>
      <c r="J20" s="3">
        <f>IF(tblRevenueMonthly6[[#This Row],[PriorRevenue]]=0,0,tblRevenueMonthly6[[#This Row],[Revenue]]-tblRevenueMonthly6[[#This Row],[PriorRevenue]])</f>
        <v>1908000</v>
      </c>
      <c r="K20" s="3">
        <f>IFERROR(_xlfn.XLOOKUP(EDATE(tblRevenueMonthly6[[#This Row],[UsageMonth]],-1),tblRevenueMonthly[UsageMonth],tblRevenueMonthly[kWh],0),0)</f>
        <v>110000000</v>
      </c>
      <c r="L20" s="3">
        <f>IFERROR(_xlfn.XLOOKUP(EDATE(tblRevenueMonthly6[[#This Row],[UsageMonth]],-1),tblRevenueMonthly[UsageMonth],tblRevenueMonthly[VariableRate],0),0)</f>
        <v>0.159</v>
      </c>
      <c r="M20" s="3">
        <f>IF(tblRevenueMonthly6[[#This Row],[PriorRevenue]]=0,0,(tblRevenueMonthly6[[#This Row],[kWh]]-tblRevenueMonthly6[[#This Row],[PriorkWh]])*tblRevenueMonthly6[[#This Row],[Priorrate]])</f>
        <v>1908000</v>
      </c>
      <c r="N20" s="3">
        <f>IF(tblRevenueMonthly6[[#This Row],[PriorRevenue]]=0,0,tblRevenueMonthly6[[#This Row],[kWh]]*(tblRevenueMonthly6[[#This Row],[VariableRate]]-tblRevenueMonthly6[[#This Row],[Priorrate]]))</f>
        <v>0</v>
      </c>
      <c r="O20" s="2">
        <f>IF(tblRevenueMonthly6[[#This Row],[PriorRevenue]]=0,0,_xlfn.XLOOKUP(EDATE(tblRevenueMonthly6[[#This Row],[UsageMonth]],-1),tblRevenueMonthly[UsageMonth],tblRevenueMonthly[FixedCharge],0))</f>
        <v>12</v>
      </c>
      <c r="P20" s="2">
        <f>IF(tblRevenueMonthly6[[#This Row],[PriorRevenue]]=0,0,tblRevenueMonthly6[[#This Row],[Customers]]*(tblRevenueMonthly6[[#This Row],[FixedCharge]]-tblRevenueMonthly6[[#This Row],[PriorFixedCharge]]))</f>
        <v>0</v>
      </c>
      <c r="Q20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1" spans="1:17" x14ac:dyDescent="0.3">
      <c r="A21" s="1">
        <f t="shared" si="0"/>
        <v>46235</v>
      </c>
      <c r="B21" t="s">
        <v>11</v>
      </c>
      <c r="C21" t="s">
        <v>12</v>
      </c>
      <c r="D21">
        <v>100000</v>
      </c>
      <c r="E21" s="2" cm="1">
        <f t="array" ref="E21">ROUND(100000000*INDEX({0.94,0.92,0.9,0.92,0.98,1.1,1.22,1.2,1.08,0.99,0.96,0.94},MONTH(A21)),0)</f>
        <v>120000000</v>
      </c>
      <c r="F21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1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1">
        <f>tblRevenueMonthly6[[#This Row],[Customers]]*tblRevenueMonthly6[[#This Row],[FixedCharge]]+tblRevenueMonthly6[[#This Row],[kWh]]*tblRevenueMonthly6[[#This Row],[VariableRate]]</f>
        <v>20280000</v>
      </c>
      <c r="I21" s="3">
        <f>IFERROR(_xlfn.XLOOKUP(EDATE(tblRevenueMonthly6[[#This Row],[UsageMonth]],-1),tblRevenueMonthly[UsageMonth],tblRevenueMonthly[Revenue],0),0)</f>
        <v>20598000</v>
      </c>
      <c r="J21" s="3">
        <f>IF(tblRevenueMonthly6[[#This Row],[PriorRevenue]]=0,0,tblRevenueMonthly6[[#This Row],[Revenue]]-tblRevenueMonthly6[[#This Row],[PriorRevenue]])</f>
        <v>-318000</v>
      </c>
      <c r="K21" s="3">
        <f>IFERROR(_xlfn.XLOOKUP(EDATE(tblRevenueMonthly6[[#This Row],[UsageMonth]],-1),tblRevenueMonthly[UsageMonth],tblRevenueMonthly[kWh],0),0)</f>
        <v>122000000</v>
      </c>
      <c r="L21" s="3">
        <f>IFERROR(_xlfn.XLOOKUP(EDATE(tblRevenueMonthly6[[#This Row],[UsageMonth]],-1),tblRevenueMonthly[UsageMonth],tblRevenueMonthly[VariableRate],0),0)</f>
        <v>0.159</v>
      </c>
      <c r="M21" s="3">
        <f>IF(tblRevenueMonthly6[[#This Row],[PriorRevenue]]=0,0,(tblRevenueMonthly6[[#This Row],[kWh]]-tblRevenueMonthly6[[#This Row],[PriorkWh]])*tblRevenueMonthly6[[#This Row],[Priorrate]])</f>
        <v>-318000</v>
      </c>
      <c r="N21" s="3">
        <f>IF(tblRevenueMonthly6[[#This Row],[PriorRevenue]]=0,0,tblRevenueMonthly6[[#This Row],[kWh]]*(tblRevenueMonthly6[[#This Row],[VariableRate]]-tblRevenueMonthly6[[#This Row],[Priorrate]]))</f>
        <v>0</v>
      </c>
      <c r="O21" s="2">
        <f>IF(tblRevenueMonthly6[[#This Row],[PriorRevenue]]=0,0,_xlfn.XLOOKUP(EDATE(tblRevenueMonthly6[[#This Row],[UsageMonth]],-1),tblRevenueMonthly[UsageMonth],tblRevenueMonthly[FixedCharge],0))</f>
        <v>12</v>
      </c>
      <c r="P21" s="2">
        <f>IF(tblRevenueMonthly6[[#This Row],[PriorRevenue]]=0,0,tblRevenueMonthly6[[#This Row],[Customers]]*(tblRevenueMonthly6[[#This Row],[FixedCharge]]-tblRevenueMonthly6[[#This Row],[PriorFixedCharge]]))</f>
        <v>0</v>
      </c>
      <c r="Q21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2" spans="1:17" x14ac:dyDescent="0.3">
      <c r="A22" s="1">
        <f t="shared" si="0"/>
        <v>46266</v>
      </c>
      <c r="B22" t="s">
        <v>11</v>
      </c>
      <c r="C22" t="s">
        <v>12</v>
      </c>
      <c r="D22">
        <v>100000</v>
      </c>
      <c r="E22" s="2" cm="1">
        <f t="array" ref="E22">ROUND(100000000*INDEX({0.94,0.92,0.9,0.92,0.98,1.1,1.22,1.2,1.08,0.99,0.96,0.94},MONTH(A22)),0)</f>
        <v>108000000</v>
      </c>
      <c r="F22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2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2">
        <f>tblRevenueMonthly6[[#This Row],[Customers]]*tblRevenueMonthly6[[#This Row],[FixedCharge]]+tblRevenueMonthly6[[#This Row],[kWh]]*tblRevenueMonthly6[[#This Row],[VariableRate]]</f>
        <v>18372000</v>
      </c>
      <c r="I22" s="3">
        <f>IFERROR(_xlfn.XLOOKUP(EDATE(tblRevenueMonthly6[[#This Row],[UsageMonth]],-1),tblRevenueMonthly[UsageMonth],tblRevenueMonthly[Revenue],0),0)</f>
        <v>20280000</v>
      </c>
      <c r="J22" s="3">
        <f>IF(tblRevenueMonthly6[[#This Row],[PriorRevenue]]=0,0,tblRevenueMonthly6[[#This Row],[Revenue]]-tblRevenueMonthly6[[#This Row],[PriorRevenue]])</f>
        <v>-1908000</v>
      </c>
      <c r="K22" s="3">
        <f>IFERROR(_xlfn.XLOOKUP(EDATE(tblRevenueMonthly6[[#This Row],[UsageMonth]],-1),tblRevenueMonthly[UsageMonth],tblRevenueMonthly[kWh],0),0)</f>
        <v>120000000</v>
      </c>
      <c r="L22" s="3">
        <f>IFERROR(_xlfn.XLOOKUP(EDATE(tblRevenueMonthly6[[#This Row],[UsageMonth]],-1),tblRevenueMonthly[UsageMonth],tblRevenueMonthly[VariableRate],0),0)</f>
        <v>0.159</v>
      </c>
      <c r="M22" s="3">
        <f>IF(tblRevenueMonthly6[[#This Row],[PriorRevenue]]=0,0,(tblRevenueMonthly6[[#This Row],[kWh]]-tblRevenueMonthly6[[#This Row],[PriorkWh]])*tblRevenueMonthly6[[#This Row],[Priorrate]])</f>
        <v>-1908000</v>
      </c>
      <c r="N22" s="3">
        <f>IF(tblRevenueMonthly6[[#This Row],[PriorRevenue]]=0,0,tblRevenueMonthly6[[#This Row],[kWh]]*(tblRevenueMonthly6[[#This Row],[VariableRate]]-tblRevenueMonthly6[[#This Row],[Priorrate]]))</f>
        <v>0</v>
      </c>
      <c r="O22" s="2">
        <f>IF(tblRevenueMonthly6[[#This Row],[PriorRevenue]]=0,0,_xlfn.XLOOKUP(EDATE(tblRevenueMonthly6[[#This Row],[UsageMonth]],-1),tblRevenueMonthly[UsageMonth],tblRevenueMonthly[FixedCharge],0))</f>
        <v>12</v>
      </c>
      <c r="P22" s="2">
        <f>IF(tblRevenueMonthly6[[#This Row],[PriorRevenue]]=0,0,tblRevenueMonthly6[[#This Row],[Customers]]*(tblRevenueMonthly6[[#This Row],[FixedCharge]]-tblRevenueMonthly6[[#This Row],[PriorFixedCharge]]))</f>
        <v>0</v>
      </c>
      <c r="Q22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3" spans="1:17" x14ac:dyDescent="0.3">
      <c r="A23" s="1">
        <f t="shared" si="0"/>
        <v>46296</v>
      </c>
      <c r="B23" t="s">
        <v>11</v>
      </c>
      <c r="C23" t="s">
        <v>12</v>
      </c>
      <c r="D23">
        <v>100000</v>
      </c>
      <c r="E23" s="2" cm="1">
        <f t="array" ref="E23">ROUND(100000000*INDEX({0.94,0.92,0.9,0.92,0.98,1.1,1.22,1.2,1.08,0.99,0.96,0.94},MONTH(A23)),0)</f>
        <v>99000000</v>
      </c>
      <c r="F23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3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3">
        <f>tblRevenueMonthly6[[#This Row],[Customers]]*tblRevenueMonthly6[[#This Row],[FixedCharge]]+tblRevenueMonthly6[[#This Row],[kWh]]*tblRevenueMonthly6[[#This Row],[VariableRate]]</f>
        <v>16941000</v>
      </c>
      <c r="I23" s="3">
        <f>IFERROR(_xlfn.XLOOKUP(EDATE(tblRevenueMonthly6[[#This Row],[UsageMonth]],-1),tblRevenueMonthly[UsageMonth],tblRevenueMonthly[Revenue],0),0)</f>
        <v>18372000</v>
      </c>
      <c r="J23" s="3">
        <f>IF(tblRevenueMonthly6[[#This Row],[PriorRevenue]]=0,0,tblRevenueMonthly6[[#This Row],[Revenue]]-tblRevenueMonthly6[[#This Row],[PriorRevenue]])</f>
        <v>-1431000</v>
      </c>
      <c r="K23" s="3">
        <f>IFERROR(_xlfn.XLOOKUP(EDATE(tblRevenueMonthly6[[#This Row],[UsageMonth]],-1),tblRevenueMonthly[UsageMonth],tblRevenueMonthly[kWh],0),0)</f>
        <v>108000000</v>
      </c>
      <c r="L23" s="3">
        <f>IFERROR(_xlfn.XLOOKUP(EDATE(tblRevenueMonthly6[[#This Row],[UsageMonth]],-1),tblRevenueMonthly[UsageMonth],tblRevenueMonthly[VariableRate],0),0)</f>
        <v>0.159</v>
      </c>
      <c r="M23" s="3">
        <f>IF(tblRevenueMonthly6[[#This Row],[PriorRevenue]]=0,0,(tblRevenueMonthly6[[#This Row],[kWh]]-tblRevenueMonthly6[[#This Row],[PriorkWh]])*tblRevenueMonthly6[[#This Row],[Priorrate]])</f>
        <v>-1431000</v>
      </c>
      <c r="N23" s="3">
        <f>IF(tblRevenueMonthly6[[#This Row],[PriorRevenue]]=0,0,tblRevenueMonthly6[[#This Row],[kWh]]*(tblRevenueMonthly6[[#This Row],[VariableRate]]-tblRevenueMonthly6[[#This Row],[Priorrate]]))</f>
        <v>0</v>
      </c>
      <c r="O23" s="2">
        <f>IF(tblRevenueMonthly6[[#This Row],[PriorRevenue]]=0,0,_xlfn.XLOOKUP(EDATE(tblRevenueMonthly6[[#This Row],[UsageMonth]],-1),tblRevenueMonthly[UsageMonth],tblRevenueMonthly[FixedCharge],0))</f>
        <v>12</v>
      </c>
      <c r="P23" s="2">
        <f>IF(tblRevenueMonthly6[[#This Row],[PriorRevenue]]=0,0,tblRevenueMonthly6[[#This Row],[Customers]]*(tblRevenueMonthly6[[#This Row],[FixedCharge]]-tblRevenueMonthly6[[#This Row],[PriorFixedCharge]]))</f>
        <v>0</v>
      </c>
      <c r="Q23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4" spans="1:17" x14ac:dyDescent="0.3">
      <c r="A24" s="1">
        <f t="shared" si="0"/>
        <v>46327</v>
      </c>
      <c r="B24" t="s">
        <v>11</v>
      </c>
      <c r="C24" t="s">
        <v>12</v>
      </c>
      <c r="D24">
        <v>100000</v>
      </c>
      <c r="E24" s="2" cm="1">
        <f t="array" ref="E24">ROUND(100000000*INDEX({0.94,0.92,0.9,0.92,0.98,1.1,1.22,1.2,1.08,0.99,0.96,0.94},MONTH(A24)),0)</f>
        <v>96000000</v>
      </c>
      <c r="F24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4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4">
        <f>tblRevenueMonthly6[[#This Row],[Customers]]*tblRevenueMonthly6[[#This Row],[FixedCharge]]+tblRevenueMonthly6[[#This Row],[kWh]]*tblRevenueMonthly6[[#This Row],[VariableRate]]</f>
        <v>16464000</v>
      </c>
      <c r="I24" s="3">
        <f>IFERROR(_xlfn.XLOOKUP(EDATE(tblRevenueMonthly6[[#This Row],[UsageMonth]],-1),tblRevenueMonthly[UsageMonth],tblRevenueMonthly[Revenue],0),0)</f>
        <v>16941000</v>
      </c>
      <c r="J24" s="3">
        <f>IF(tblRevenueMonthly6[[#This Row],[PriorRevenue]]=0,0,tblRevenueMonthly6[[#This Row],[Revenue]]-tblRevenueMonthly6[[#This Row],[PriorRevenue]])</f>
        <v>-477000</v>
      </c>
      <c r="K24" s="3">
        <f>IFERROR(_xlfn.XLOOKUP(EDATE(tblRevenueMonthly6[[#This Row],[UsageMonth]],-1),tblRevenueMonthly[UsageMonth],tblRevenueMonthly[kWh],0),0)</f>
        <v>99000000</v>
      </c>
      <c r="L24" s="3">
        <f>IFERROR(_xlfn.XLOOKUP(EDATE(tblRevenueMonthly6[[#This Row],[UsageMonth]],-1),tblRevenueMonthly[UsageMonth],tblRevenueMonthly[VariableRate],0),0)</f>
        <v>0.159</v>
      </c>
      <c r="M24" s="3">
        <f>IF(tblRevenueMonthly6[[#This Row],[PriorRevenue]]=0,0,(tblRevenueMonthly6[[#This Row],[kWh]]-tblRevenueMonthly6[[#This Row],[PriorkWh]])*tblRevenueMonthly6[[#This Row],[Priorrate]])</f>
        <v>-477000</v>
      </c>
      <c r="N24" s="3">
        <f>IF(tblRevenueMonthly6[[#This Row],[PriorRevenue]]=0,0,tblRevenueMonthly6[[#This Row],[kWh]]*(tblRevenueMonthly6[[#This Row],[VariableRate]]-tblRevenueMonthly6[[#This Row],[Priorrate]]))</f>
        <v>0</v>
      </c>
      <c r="O24" s="2">
        <f>IF(tblRevenueMonthly6[[#This Row],[PriorRevenue]]=0,0,_xlfn.XLOOKUP(EDATE(tblRevenueMonthly6[[#This Row],[UsageMonth]],-1),tblRevenueMonthly[UsageMonth],tblRevenueMonthly[FixedCharge],0))</f>
        <v>12</v>
      </c>
      <c r="P24" s="2">
        <f>IF(tblRevenueMonthly6[[#This Row],[PriorRevenue]]=0,0,tblRevenueMonthly6[[#This Row],[Customers]]*(tblRevenueMonthly6[[#This Row],[FixedCharge]]-tblRevenueMonthly6[[#This Row],[PriorFixedCharge]]))</f>
        <v>0</v>
      </c>
      <c r="Q24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  <row r="25" spans="1:17" x14ac:dyDescent="0.3">
      <c r="A25" s="1">
        <f t="shared" si="0"/>
        <v>46357</v>
      </c>
      <c r="B25" t="s">
        <v>11</v>
      </c>
      <c r="C25" t="s">
        <v>12</v>
      </c>
      <c r="D25">
        <v>100000</v>
      </c>
      <c r="E25" s="2" cm="1">
        <f t="array" ref="E25">ROUND(100000000*INDEX({0.94,0.92,0.9,0.92,0.98,1.1,1.22,1.2,1.08,0.99,0.96,0.94},MONTH(A25)),0)</f>
        <v>94000000</v>
      </c>
      <c r="F25">
        <f>SUMIFS(tblRateComponents[Value],tblRateComponents[CustomerClass],tblRevenueMonthly6[[#This Row],[CustomerClass]],tblRateComponents[RateSchedule],tblRevenueMonthly6[[#This Row],[RateSchedule]],tblRateComponents[ComponentType],"Fixed",tblRateComponents[EffectiveStart],"&lt;="&amp;tblRevenueMonthly6[[#This Row],[UsageMonth]],tblRateComponents[EffectiveEnd],"&gt;="&amp;tblRevenueMonthly6[[#This Row],[UsageMonth]])</f>
        <v>12</v>
      </c>
      <c r="G25">
        <f>SUMIFS(tblRateComponents[Value],tblRateComponents[CustomerClass],tblRevenueMonthly6[[#This Row],[CustomerClass]],tblRateComponents[RateSchedule],tblRevenueMonthly6[[#This Row],[RateSchedule]],tblRateComponents[ComponentType],"Variable",tblRateComponents[EffectiveStart],"&lt;="&amp;tblRevenueMonthly6[[#This Row],[UsageMonth]],tblRateComponents[EffectiveEnd],"&gt;="&amp;tblRevenueMonthly6[[#This Row],[UsageMonth]])</f>
        <v>0.159</v>
      </c>
      <c r="H25">
        <f>tblRevenueMonthly6[[#This Row],[Customers]]*tblRevenueMonthly6[[#This Row],[FixedCharge]]+tblRevenueMonthly6[[#This Row],[kWh]]*tblRevenueMonthly6[[#This Row],[VariableRate]]</f>
        <v>16146000</v>
      </c>
      <c r="I25" s="3">
        <f>IFERROR(_xlfn.XLOOKUP(EDATE(tblRevenueMonthly6[[#This Row],[UsageMonth]],-1),tblRevenueMonthly[UsageMonth],tblRevenueMonthly[Revenue],0),0)</f>
        <v>16464000</v>
      </c>
      <c r="J25" s="3">
        <f>IF(tblRevenueMonthly6[[#This Row],[PriorRevenue]]=0,0,tblRevenueMonthly6[[#This Row],[Revenue]]-tblRevenueMonthly6[[#This Row],[PriorRevenue]])</f>
        <v>-318000</v>
      </c>
      <c r="K25" s="3">
        <f>IFERROR(_xlfn.XLOOKUP(EDATE(tblRevenueMonthly6[[#This Row],[UsageMonth]],-1),tblRevenueMonthly[UsageMonth],tblRevenueMonthly[kWh],0),0)</f>
        <v>96000000</v>
      </c>
      <c r="L25" s="3">
        <f>IFERROR(_xlfn.XLOOKUP(EDATE(tblRevenueMonthly6[[#This Row],[UsageMonth]],-1),tblRevenueMonthly[UsageMonth],tblRevenueMonthly[VariableRate],0),0)</f>
        <v>0.159</v>
      </c>
      <c r="M25" s="3">
        <f>IF(tblRevenueMonthly6[[#This Row],[PriorRevenue]]=0,0,(tblRevenueMonthly6[[#This Row],[kWh]]-tblRevenueMonthly6[[#This Row],[PriorkWh]])*tblRevenueMonthly6[[#This Row],[Priorrate]])</f>
        <v>-318000</v>
      </c>
      <c r="N25" s="3">
        <f>IF(tblRevenueMonthly6[[#This Row],[PriorRevenue]]=0,0,tblRevenueMonthly6[[#This Row],[kWh]]*(tblRevenueMonthly6[[#This Row],[VariableRate]]-tblRevenueMonthly6[[#This Row],[Priorrate]]))</f>
        <v>0</v>
      </c>
      <c r="O25" s="2">
        <f>IF(tblRevenueMonthly6[[#This Row],[PriorRevenue]]=0,0,_xlfn.XLOOKUP(EDATE(tblRevenueMonthly6[[#This Row],[UsageMonth]],-1),tblRevenueMonthly[UsageMonth],tblRevenueMonthly[FixedCharge],0))</f>
        <v>12</v>
      </c>
      <c r="P25" s="2">
        <f>IF(tblRevenueMonthly6[[#This Row],[PriorRevenue]]=0,0,tblRevenueMonthly6[[#This Row],[Customers]]*(tblRevenueMonthly6[[#This Row],[FixedCharge]]-tblRevenueMonthly6[[#This Row],[PriorFixedCharge]]))</f>
        <v>0</v>
      </c>
      <c r="Q25" s="2">
        <f>IF(tblRevenueMonthly6[[#This Row],[PriorRevenue]]=0,0,tblRevenueMonthly6[[#This Row],[RevenueChange]]-(tblRevenueMonthly6[[#This Row],[VolumeEffect]]+tblRevenueMonthly6[[#This Row],[RateEffect]]+tblRevenueMonthly6[[#This Row],[FixedChargeEffect]]))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RateComponents</vt:lpstr>
      <vt:lpstr>CustomerProfiles</vt:lpstr>
      <vt:lpstr>UsageMonthly</vt:lpstr>
      <vt:lpstr>RevenueMonthly</vt:lpstr>
      <vt:lpstr>VarianceMonthly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Cohens Pierre</dc:creator>
  <cp:lastModifiedBy>Cohens Pierre</cp:lastModifiedBy>
  <dcterms:created xsi:type="dcterms:W3CDTF">2025-12-26T03:20:56Z</dcterms:created>
  <dcterms:modified xsi:type="dcterms:W3CDTF">2025-12-26T22:02:25Z</dcterms:modified>
</cp:coreProperties>
</file>